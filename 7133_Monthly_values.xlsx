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mlandst_ug_kth_se/Documents/KEX_MSA_renewables/Python/Excel_Areas/"/>
    </mc:Choice>
  </mc:AlternateContent>
  <xr:revisionPtr revIDLastSave="4" documentId="8_{DAF341A3-52A9-3B44-BFA7-D7059C6B232B}" xr6:coauthVersionLast="47" xr6:coauthVersionMax="47" xr10:uidLastSave="{A1FF4803-8F82-4809-AE71-73FF6A0334A5}"/>
  <bookViews>
    <workbookView xWindow="-110" yWindow="-110" windowWidth="19420" windowHeight="10420" xr2:uid="{C73740E0-E2ED-3843-A2D7-B64B7930B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</calcChain>
</file>

<file path=xl/sharedStrings.xml><?xml version="1.0" encoding="utf-8"?>
<sst xmlns="http://schemas.openxmlformats.org/spreadsheetml/2006/main" count="17" uniqueCount="17">
  <si>
    <t>Total vattenföring [m³/s]</t>
  </si>
  <si>
    <t>Total stationskorrigerad vattenföring [m³/s]</t>
  </si>
  <si>
    <t>Total naturlig vattenföring [m³/s]</t>
  </si>
  <si>
    <t>Lokal vattenföring [m³/s]</t>
  </si>
  <si>
    <t>Total kvävetransport [kg]</t>
  </si>
  <si>
    <t>Total fosfortransport [kg]</t>
  </si>
  <si>
    <t>Lokal kvävetransport [kg]</t>
  </si>
  <si>
    <t>Lokal fosfortransport [kg]</t>
  </si>
  <si>
    <t>Total kvävekoncentration [ug/l]</t>
  </si>
  <si>
    <t>Total fosforkoncentration [ug/l]</t>
  </si>
  <si>
    <t>Total koncentration av oorganiskt kväve [ug/l]</t>
  </si>
  <si>
    <t>Total koncentration av löst reaktivt fosfor [ug/l]</t>
  </si>
  <si>
    <t>Lokal nederbörd [mm]</t>
  </si>
  <si>
    <t>Lokal evapotranspiration [mm]</t>
  </si>
  <si>
    <t>Lokal luftemperatur [°C]</t>
  </si>
  <si>
    <t>Temperatur Vattendrag [°C]</t>
  </si>
  <si>
    <t>Total andel oorganiskt kväve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</si>
</sst>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"/>
    <numFmt numFmtId="165" formatCode="#0.000"/>
    <numFmt numFmtId="166" formatCode="#0.0"/>
    <numFmt numFmtId="167" formatCode="#0.00"/>
  </numFmts>
  <fonts count="3">
    <font>
      <sz val="12"/>
      <color theme="1"/>
      <name val="Aptos Narrow"/>
      <family val="2"/>
      <scheme val="minor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164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1" fontId="2" fillId="0" borderId="0" xfId="0" applyNumberFormat="1" applyFont="1" applyAlignment="1">
      <alignment vertical="top"/>
    </xf>
    <xf numFmtId="166" fontId="2" fillId="0" borderId="0" xfId="0" applyNumberFormat="1" applyFont="1" applyAlignment="1">
      <alignment vertical="top"/>
    </xf>
    <xf numFmtId="167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BC9B-F710-214F-A03E-75D7C8B57F75}">
  <dimension ref="A1:S181"/>
  <sheetViews>
    <sheetView tabSelected="1" topLeftCell="K1" workbookViewId="0">
      <selection activeCell="S1" sqref="S1"/>
    </sheetView>
  </sheetViews>
  <sheetFormatPr defaultColWidth="10.6640625" defaultRowHeight="16"/>
  <sheetData>
    <row r="1" spans="1:19" ht="6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S1" s="1" t="s">
        <v>16</v>
      </c>
    </row>
    <row r="2" spans="1:19">
      <c r="A2" s="2">
        <v>40179</v>
      </c>
      <c r="B2" s="3">
        <v>0.80426912032258047</v>
      </c>
      <c r="C2" s="3">
        <v>0.80426912032258047</v>
      </c>
      <c r="D2" s="3">
        <v>0.80426912032258047</v>
      </c>
      <c r="E2" s="3">
        <v>4.7621084225806444E-2</v>
      </c>
      <c r="F2" s="4">
        <v>3090.0825199999999</v>
      </c>
      <c r="G2" s="5">
        <v>94.105186400000008</v>
      </c>
      <c r="H2" s="4">
        <v>232.86686348748063</v>
      </c>
      <c r="I2" s="5">
        <v>10.448061683096416</v>
      </c>
      <c r="J2" s="4">
        <v>1434.4758041354419</v>
      </c>
      <c r="K2" s="5">
        <v>43.685439174564017</v>
      </c>
      <c r="L2" s="4">
        <v>796.15268192560984</v>
      </c>
      <c r="M2" s="5">
        <v>17.445363106914879</v>
      </c>
      <c r="N2" s="5">
        <v>32.470999725199995</v>
      </c>
      <c r="O2" s="6">
        <v>6.5944895651</v>
      </c>
      <c r="P2" s="5">
        <v>-8.2938709193548394</v>
      </c>
      <c r="Q2" s="5">
        <v>4.0707793406451623E-3</v>
      </c>
      <c r="S2">
        <f>100*(AVERAGE(L2:L181)/AVERAGE(J2:J181))</f>
        <v>49.523994534668034</v>
      </c>
    </row>
    <row r="3" spans="1:19">
      <c r="A3" s="2">
        <v>40210</v>
      </c>
      <c r="B3" s="3">
        <v>0.46575246750000004</v>
      </c>
      <c r="C3" s="3">
        <v>0.46575246750000004</v>
      </c>
      <c r="D3" s="3">
        <v>0.46575246750000004</v>
      </c>
      <c r="E3" s="3">
        <v>2.3859962285714287E-2</v>
      </c>
      <c r="F3" s="4">
        <v>1465.4810170000001</v>
      </c>
      <c r="G3" s="5">
        <v>28.575114490000001</v>
      </c>
      <c r="H3" s="4">
        <v>109.67667644093613</v>
      </c>
      <c r="I3" s="6">
        <v>4.6305071304544159</v>
      </c>
      <c r="J3" s="4">
        <v>1300.6284277936891</v>
      </c>
      <c r="K3" s="5">
        <v>25.360687523521708</v>
      </c>
      <c r="L3" s="4">
        <v>747.77249501491724</v>
      </c>
      <c r="M3" s="5">
        <v>15.521728416329767</v>
      </c>
      <c r="N3" s="5">
        <v>41.079067058999996</v>
      </c>
      <c r="O3" s="6">
        <v>8.4422967809999996</v>
      </c>
      <c r="P3" s="5">
        <v>-6.5578571007142861</v>
      </c>
      <c r="Q3" s="5">
        <v>3.5658700573214285E-3</v>
      </c>
    </row>
    <row r="4" spans="1:19">
      <c r="A4" s="2">
        <v>40238</v>
      </c>
      <c r="B4" s="6">
        <v>4.4826355035483871</v>
      </c>
      <c r="C4" s="6">
        <v>4.4826355035483871</v>
      </c>
      <c r="D4" s="6">
        <v>4.4826355035483871</v>
      </c>
      <c r="E4" s="3">
        <v>0.48746637393548381</v>
      </c>
      <c r="F4" s="4">
        <v>29765.058519999999</v>
      </c>
      <c r="G4" s="4">
        <v>3004.8702669000004</v>
      </c>
      <c r="H4" s="4">
        <v>3237.3248779895353</v>
      </c>
      <c r="I4" s="4">
        <v>218.51285658759588</v>
      </c>
      <c r="J4" s="4">
        <v>2479.1217680793002</v>
      </c>
      <c r="K4" s="4">
        <v>250.27463498704682</v>
      </c>
      <c r="L4" s="4">
        <v>1726.3311214559533</v>
      </c>
      <c r="M4" s="5">
        <v>34.160932093390208</v>
      </c>
      <c r="N4" s="5">
        <v>41.842897184000009</v>
      </c>
      <c r="O4" s="5">
        <v>12.259883730000004</v>
      </c>
      <c r="P4" s="5">
        <v>-1.3306451412903229</v>
      </c>
      <c r="Q4" s="5">
        <v>0.20895843403225806</v>
      </c>
    </row>
    <row r="5" spans="1:19">
      <c r="A5" s="2">
        <v>40269</v>
      </c>
      <c r="B5" s="6">
        <v>7.9462650300000002</v>
      </c>
      <c r="C5" s="6">
        <v>7.9462650300000002</v>
      </c>
      <c r="D5" s="6">
        <v>7.9462650300000002</v>
      </c>
      <c r="E5" s="3">
        <v>0.66050387116666665</v>
      </c>
      <c r="F5" s="4">
        <v>37244.200419999986</v>
      </c>
      <c r="G5" s="4">
        <v>1956.7488662000005</v>
      </c>
      <c r="H5" s="4">
        <v>3108.4559122341675</v>
      </c>
      <c r="I5" s="4">
        <v>132.27036121016212</v>
      </c>
      <c r="J5" s="4">
        <v>1808.2587707505386</v>
      </c>
      <c r="K5" s="5">
        <v>95.002933976347194</v>
      </c>
      <c r="L5" s="4">
        <v>1097.5920483707359</v>
      </c>
      <c r="M5" s="5">
        <v>21.198384954140138</v>
      </c>
      <c r="N5" s="5">
        <v>30.995682717999991</v>
      </c>
      <c r="O5" s="5">
        <v>29.786925899999996</v>
      </c>
      <c r="P5" s="5">
        <v>5.2796667326666666</v>
      </c>
      <c r="Q5" s="5">
        <v>4.673654382333333</v>
      </c>
    </row>
    <row r="6" spans="1:19">
      <c r="A6" s="2">
        <v>40299</v>
      </c>
      <c r="B6" s="6">
        <v>1.0230662658064515</v>
      </c>
      <c r="C6" s="6">
        <v>1.0230662658064515</v>
      </c>
      <c r="D6" s="6">
        <v>1.0230662658064515</v>
      </c>
      <c r="E6" s="3">
        <v>3.9067097387096766E-2</v>
      </c>
      <c r="F6" s="4">
        <v>3044.9936450000009</v>
      </c>
      <c r="G6" s="5">
        <v>73.953668599999986</v>
      </c>
      <c r="H6" s="4">
        <v>151.96041332953254</v>
      </c>
      <c r="I6" s="6">
        <v>6.0387348514830785</v>
      </c>
      <c r="J6" s="4">
        <v>1111.2382026593405</v>
      </c>
      <c r="K6" s="5">
        <v>26.988608950909615</v>
      </c>
      <c r="L6" s="4">
        <v>457.28383042731821</v>
      </c>
      <c r="M6" s="6">
        <v>9.5846652613442771</v>
      </c>
      <c r="N6" s="5">
        <v>45.417587767000001</v>
      </c>
      <c r="O6" s="5">
        <v>57.527891290000014</v>
      </c>
      <c r="P6" s="5">
        <v>10.60193544516129</v>
      </c>
      <c r="Q6" s="5">
        <v>11.358825335483871</v>
      </c>
    </row>
    <row r="7" spans="1:19">
      <c r="A7" s="2">
        <v>40330</v>
      </c>
      <c r="B7" s="3">
        <v>0.38896875633333328</v>
      </c>
      <c r="C7" s="3">
        <v>0.38896875633333328</v>
      </c>
      <c r="D7" s="3">
        <v>0.38896875633333328</v>
      </c>
      <c r="E7" s="3">
        <v>1.8852646066666666E-2</v>
      </c>
      <c r="F7" s="4">
        <v>1072.64186</v>
      </c>
      <c r="G7" s="5">
        <v>17.908212050000007</v>
      </c>
      <c r="H7" s="5">
        <v>65.201415607718801</v>
      </c>
      <c r="I7" s="6">
        <v>2.9817175912030116</v>
      </c>
      <c r="J7" s="4">
        <v>1063.9102701338131</v>
      </c>
      <c r="K7" s="5">
        <v>17.762434446875684</v>
      </c>
      <c r="L7" s="4">
        <v>397.08096931534186</v>
      </c>
      <c r="M7" s="6">
        <v>7.8388845799572762</v>
      </c>
      <c r="N7" s="5">
        <v>35.965062289999999</v>
      </c>
      <c r="O7" s="5">
        <v>62.8492289</v>
      </c>
      <c r="P7" s="5">
        <v>14.6983333</v>
      </c>
      <c r="Q7" s="5">
        <v>15.212149333333336</v>
      </c>
    </row>
    <row r="8" spans="1:19">
      <c r="A8" s="2">
        <v>40360</v>
      </c>
      <c r="B8" s="3">
        <v>0.23495683941935483</v>
      </c>
      <c r="C8" s="3">
        <v>0.23495683941935483</v>
      </c>
      <c r="D8" s="3">
        <v>0.23495683941935483</v>
      </c>
      <c r="E8" s="3">
        <v>2.0734663477419351E-2</v>
      </c>
      <c r="F8" s="4">
        <v>636.74186480000003</v>
      </c>
      <c r="G8" s="5">
        <v>11.757644612</v>
      </c>
      <c r="H8" s="5">
        <v>51.145593878158842</v>
      </c>
      <c r="I8" s="6">
        <v>3.5247440507437298</v>
      </c>
      <c r="J8" s="4">
        <v>1011.8120899155913</v>
      </c>
      <c r="K8" s="5">
        <v>18.683437582100776</v>
      </c>
      <c r="L8" s="4">
        <v>318.78942753037052</v>
      </c>
      <c r="M8" s="5">
        <v>10.404704288074708</v>
      </c>
      <c r="N8" s="5">
        <v>66.13812870000001</v>
      </c>
      <c r="O8" s="5">
        <v>62.8571326</v>
      </c>
      <c r="P8" s="5">
        <v>20.535161193548383</v>
      </c>
      <c r="Q8" s="5">
        <v>20.511587548387098</v>
      </c>
    </row>
    <row r="9" spans="1:19">
      <c r="A9" s="2">
        <v>40391</v>
      </c>
      <c r="B9" s="3">
        <v>0.92011919741935499</v>
      </c>
      <c r="C9" s="3">
        <v>0.92011919741935499</v>
      </c>
      <c r="D9" s="3">
        <v>0.92011919741935499</v>
      </c>
      <c r="E9" s="3">
        <v>9.2181159225806442E-2</v>
      </c>
      <c r="F9" s="4">
        <v>2314.6526439999998</v>
      </c>
      <c r="G9" s="5">
        <v>67.654081549999987</v>
      </c>
      <c r="H9" s="4">
        <v>235.70273324238408</v>
      </c>
      <c r="I9" s="5">
        <v>11.374046917696885</v>
      </c>
      <c r="J9" s="4">
        <v>939.21772479221693</v>
      </c>
      <c r="K9" s="5">
        <v>27.452029137289113</v>
      </c>
      <c r="L9" s="4">
        <v>268.43815991552611</v>
      </c>
      <c r="M9" s="5">
        <v>10.710134973556995</v>
      </c>
      <c r="N9" s="4">
        <v>111.549584932</v>
      </c>
      <c r="O9" s="5">
        <v>86.14113159999998</v>
      </c>
      <c r="P9" s="5">
        <v>16.502580451612904</v>
      </c>
      <c r="Q9" s="5">
        <v>16.558858064516123</v>
      </c>
    </row>
    <row r="10" spans="1:19">
      <c r="A10" s="2">
        <v>40422</v>
      </c>
      <c r="B10" s="3">
        <v>0.69239943466666676</v>
      </c>
      <c r="C10" s="3">
        <v>0.69239943466666676</v>
      </c>
      <c r="D10" s="3">
        <v>0.69239943466666676</v>
      </c>
      <c r="E10" s="3">
        <v>7.591284009999999E-2</v>
      </c>
      <c r="F10" s="4">
        <v>1788.0401059999997</v>
      </c>
      <c r="G10" s="5">
        <v>39.304295850000003</v>
      </c>
      <c r="H10" s="4">
        <v>227.56680444761213</v>
      </c>
      <c r="I10" s="6">
        <v>8.7890554058208181</v>
      </c>
      <c r="J10" s="4">
        <v>996.28947198156868</v>
      </c>
      <c r="K10" s="5">
        <v>21.900210942479209</v>
      </c>
      <c r="L10" s="4">
        <v>254.74950913822786</v>
      </c>
      <c r="M10" s="5">
        <v>11.067652756679593</v>
      </c>
      <c r="N10" s="5">
        <v>67.521251095000011</v>
      </c>
      <c r="O10" s="5">
        <v>50.40651428000001</v>
      </c>
      <c r="P10" s="5">
        <v>11.253333306666665</v>
      </c>
      <c r="Q10" s="5">
        <v>11.097245249999997</v>
      </c>
    </row>
    <row r="11" spans="1:19">
      <c r="A11" s="2">
        <v>40452</v>
      </c>
      <c r="B11" s="3">
        <v>0.53319245838709672</v>
      </c>
      <c r="C11" s="3">
        <v>0.53319245838709672</v>
      </c>
      <c r="D11" s="3">
        <v>0.53319245838709672</v>
      </c>
      <c r="E11" s="3">
        <v>5.3658992548387095E-2</v>
      </c>
      <c r="F11" s="4">
        <v>1388.5103340000001</v>
      </c>
      <c r="G11" s="5">
        <v>27.70876268</v>
      </c>
      <c r="H11" s="4">
        <v>161.89482403386128</v>
      </c>
      <c r="I11" s="6">
        <v>6.7359761386446442</v>
      </c>
      <c r="J11" s="4">
        <v>972.27622430715758</v>
      </c>
      <c r="K11" s="5">
        <v>19.402499465834595</v>
      </c>
      <c r="L11" s="4">
        <v>264.33788298053594</v>
      </c>
      <c r="M11" s="5">
        <v>11.739303138712902</v>
      </c>
      <c r="N11" s="5">
        <v>42.710334533999998</v>
      </c>
      <c r="O11" s="5">
        <v>25.308378064999992</v>
      </c>
      <c r="P11" s="5">
        <v>5.5032258445161286</v>
      </c>
      <c r="Q11" s="5">
        <v>4.9674067506451616</v>
      </c>
    </row>
    <row r="12" spans="1:19">
      <c r="A12" s="2">
        <v>40483</v>
      </c>
      <c r="B12" s="6">
        <v>2.9013107456666671</v>
      </c>
      <c r="C12" s="6">
        <v>2.9013107456666671</v>
      </c>
      <c r="D12" s="6">
        <v>2.9013107456666671</v>
      </c>
      <c r="E12" s="3">
        <v>0.29871824719999995</v>
      </c>
      <c r="F12" s="4">
        <v>14496.314959000001</v>
      </c>
      <c r="G12" s="4">
        <v>854.74453740000013</v>
      </c>
      <c r="H12" s="4">
        <v>1604.7097990750137</v>
      </c>
      <c r="I12" s="5">
        <v>87.398598151521156</v>
      </c>
      <c r="J12" s="4">
        <v>1927.6507526121632</v>
      </c>
      <c r="K12" s="4">
        <v>113.6598488423564</v>
      </c>
      <c r="L12" s="4">
        <v>1161.71834875126</v>
      </c>
      <c r="M12" s="5">
        <v>26.696017608953284</v>
      </c>
      <c r="N12" s="5">
        <v>76.886439492999997</v>
      </c>
      <c r="O12" s="5">
        <v>19.563054817999998</v>
      </c>
      <c r="P12" s="5">
        <v>-0.65066668663333327</v>
      </c>
      <c r="Q12" s="5">
        <v>1.364975794464333</v>
      </c>
    </row>
    <row r="13" spans="1:19">
      <c r="A13" s="2">
        <v>40513</v>
      </c>
      <c r="B13" s="3">
        <v>0.92574018806451608</v>
      </c>
      <c r="C13" s="3">
        <v>0.92574018806451608</v>
      </c>
      <c r="D13" s="3">
        <v>0.92574018806451608</v>
      </c>
      <c r="E13" s="3">
        <v>5.4936831580645155E-2</v>
      </c>
      <c r="F13" s="4">
        <v>3354.4083650000007</v>
      </c>
      <c r="G13" s="5">
        <v>84.016650499999969</v>
      </c>
      <c r="H13" s="4">
        <v>235.53581056976662</v>
      </c>
      <c r="I13" s="6">
        <v>9.1115622346362652</v>
      </c>
      <c r="J13" s="4">
        <v>1352.8552793976203</v>
      </c>
      <c r="K13" s="5">
        <v>33.884476438727212</v>
      </c>
      <c r="L13" s="4">
        <v>697.49891331683227</v>
      </c>
      <c r="M13" s="5">
        <v>16.404928546448858</v>
      </c>
      <c r="N13" s="5">
        <v>60.785952933200008</v>
      </c>
      <c r="O13" s="5">
        <v>12.344933043199999</v>
      </c>
      <c r="P13" s="5">
        <v>-7.602580593548387</v>
      </c>
      <c r="Q13" s="5">
        <v>6.8573560448387076E-3</v>
      </c>
    </row>
    <row r="14" spans="1:19">
      <c r="A14" s="2">
        <v>40544</v>
      </c>
      <c r="B14" s="6">
        <v>2.0163077625806447</v>
      </c>
      <c r="C14" s="6">
        <v>2.0163077625806447</v>
      </c>
      <c r="D14" s="6">
        <v>2.0163077625806447</v>
      </c>
      <c r="E14" s="3">
        <v>0.18141981564516127</v>
      </c>
      <c r="F14" s="4">
        <v>11786.950558999997</v>
      </c>
      <c r="G14" s="4">
        <v>653.20818215999998</v>
      </c>
      <c r="H14" s="4">
        <v>1164.4097503929904</v>
      </c>
      <c r="I14" s="5">
        <v>63.938571727919694</v>
      </c>
      <c r="J14" s="4">
        <v>2182.5750230873277</v>
      </c>
      <c r="K14" s="4">
        <v>120.95374690596329</v>
      </c>
      <c r="L14" s="4">
        <v>1469.5362694658354</v>
      </c>
      <c r="M14" s="5">
        <v>30.905547365055426</v>
      </c>
      <c r="N14" s="5">
        <v>41.046806973000002</v>
      </c>
      <c r="O14" s="6">
        <v>9.1368489122999996</v>
      </c>
      <c r="P14" s="5">
        <v>-3.0658064551612898</v>
      </c>
      <c r="Q14" s="5">
        <v>9.9000907552709683E-2</v>
      </c>
    </row>
    <row r="15" spans="1:19">
      <c r="A15" s="2">
        <v>40575</v>
      </c>
      <c r="B15" s="6">
        <v>2.4916137107142844</v>
      </c>
      <c r="C15" s="6">
        <v>2.4916137107142844</v>
      </c>
      <c r="D15" s="6">
        <v>2.4916137107142844</v>
      </c>
      <c r="E15" s="3">
        <v>0.21524938899999999</v>
      </c>
      <c r="F15" s="4">
        <v>12881.045239999996</v>
      </c>
      <c r="G15" s="4">
        <v>655.11038359999986</v>
      </c>
      <c r="H15" s="4">
        <v>1243.6906931018159</v>
      </c>
      <c r="I15" s="5">
        <v>63.65765288824992</v>
      </c>
      <c r="J15" s="4">
        <v>2136.9708756241835</v>
      </c>
      <c r="K15" s="4">
        <v>108.68309057124864</v>
      </c>
      <c r="L15" s="4">
        <v>1392.9654740504523</v>
      </c>
      <c r="M15" s="5">
        <v>28.77679446457126</v>
      </c>
      <c r="N15" s="5">
        <v>36.480236771999998</v>
      </c>
      <c r="O15" s="6">
        <v>8.0747995087</v>
      </c>
      <c r="P15" s="5">
        <v>-6.1389285533571423</v>
      </c>
      <c r="Q15" s="5">
        <v>0.12338293597517859</v>
      </c>
    </row>
    <row r="16" spans="1:19">
      <c r="A16" s="2">
        <v>40603</v>
      </c>
      <c r="B16" s="6">
        <v>5.2467988067741951</v>
      </c>
      <c r="C16" s="6">
        <v>5.2467988067741951</v>
      </c>
      <c r="D16" s="6">
        <v>5.2467988067741951</v>
      </c>
      <c r="E16" s="3">
        <v>0.51753887232258067</v>
      </c>
      <c r="F16" s="4">
        <v>33726.973169999997</v>
      </c>
      <c r="G16" s="4">
        <v>2853.3216372000006</v>
      </c>
      <c r="H16" s="4">
        <v>3270.4328893672209</v>
      </c>
      <c r="I16" s="4">
        <v>205.92370331556569</v>
      </c>
      <c r="J16" s="4">
        <v>2399.9793274168755</v>
      </c>
      <c r="K16" s="4">
        <v>203.03965934949477</v>
      </c>
      <c r="L16" s="4">
        <v>1657.5662705398979</v>
      </c>
      <c r="M16" s="5">
        <v>32.77239836816473</v>
      </c>
      <c r="N16" s="5">
        <v>17.195089170000003</v>
      </c>
      <c r="O16" s="6">
        <v>7.6325459100000002</v>
      </c>
      <c r="P16" s="5">
        <v>0.32709680483870973</v>
      </c>
      <c r="Q16" s="5">
        <v>0.38346603587096761</v>
      </c>
    </row>
    <row r="17" spans="1:17">
      <c r="A17" s="2">
        <v>40634</v>
      </c>
      <c r="B17" s="6">
        <v>4.7346783833333337</v>
      </c>
      <c r="C17" s="6">
        <v>4.7346783833333337</v>
      </c>
      <c r="D17" s="6">
        <v>4.7346783833333337</v>
      </c>
      <c r="E17" s="3">
        <v>0.37740407669999992</v>
      </c>
      <c r="F17" s="4">
        <v>16881.246307999998</v>
      </c>
      <c r="G17" s="4">
        <v>675.69133000000022</v>
      </c>
      <c r="H17" s="4">
        <v>1359.1562268023558</v>
      </c>
      <c r="I17" s="5">
        <v>43.647334620828644</v>
      </c>
      <c r="J17" s="4">
        <v>1375.5582749591617</v>
      </c>
      <c r="K17" s="5">
        <v>55.058304202955497</v>
      </c>
      <c r="L17" s="4">
        <v>678.74263998569882</v>
      </c>
      <c r="M17" s="5">
        <v>12.827203017083843</v>
      </c>
      <c r="N17" s="5">
        <v>11.984502681000002</v>
      </c>
      <c r="O17" s="5">
        <v>35.362667840000007</v>
      </c>
      <c r="P17" s="5">
        <v>8.0256666966666668</v>
      </c>
      <c r="Q17" s="5">
        <v>7.4749218466666658</v>
      </c>
    </row>
    <row r="18" spans="1:17">
      <c r="A18" s="2">
        <v>40664</v>
      </c>
      <c r="B18" s="3">
        <v>0.60533152774193533</v>
      </c>
      <c r="C18" s="3">
        <v>0.60533152774193533</v>
      </c>
      <c r="D18" s="3">
        <v>0.60533152774193533</v>
      </c>
      <c r="E18" s="3">
        <v>1.875514361290323E-2</v>
      </c>
      <c r="F18" s="4">
        <v>1678.1536730000003</v>
      </c>
      <c r="G18" s="5">
        <v>33.742610250000006</v>
      </c>
      <c r="H18" s="5">
        <v>75.595542795259391</v>
      </c>
      <c r="I18" s="6">
        <v>3.0870213490824883</v>
      </c>
      <c r="J18" s="4">
        <v>1035.0539018264822</v>
      </c>
      <c r="K18" s="5">
        <v>20.811813235238414</v>
      </c>
      <c r="L18" s="4">
        <v>378.55995423315227</v>
      </c>
      <c r="M18" s="6">
        <v>7.8446594393844364</v>
      </c>
      <c r="N18" s="5">
        <v>33.095095705000006</v>
      </c>
      <c r="O18" s="5">
        <v>48.296160179999987</v>
      </c>
      <c r="P18" s="5">
        <v>11.30967742580645</v>
      </c>
      <c r="Q18" s="5">
        <v>11.822646896774192</v>
      </c>
    </row>
    <row r="19" spans="1:17">
      <c r="A19" s="2">
        <v>40695</v>
      </c>
      <c r="B19" s="3">
        <v>0.27478048966666668</v>
      </c>
      <c r="C19" s="3">
        <v>0.27478048966666668</v>
      </c>
      <c r="D19" s="3">
        <v>0.27478048966666668</v>
      </c>
      <c r="E19" s="3">
        <v>1.8244118193333336E-2</v>
      </c>
      <c r="F19" s="4">
        <v>756.74114899999995</v>
      </c>
      <c r="G19" s="5">
        <v>11.697783460000004</v>
      </c>
      <c r="H19" s="5">
        <v>65.392454465931564</v>
      </c>
      <c r="I19" s="6">
        <v>3.3575797736014197</v>
      </c>
      <c r="J19" s="4">
        <v>1062.4938814403986</v>
      </c>
      <c r="K19" s="5">
        <v>16.424141139444853</v>
      </c>
      <c r="L19" s="4">
        <v>364.93564916790825</v>
      </c>
      <c r="M19" s="6">
        <v>8.2664380497048562</v>
      </c>
      <c r="N19" s="5">
        <v>55.371228289999983</v>
      </c>
      <c r="O19" s="5">
        <v>63.174556100000004</v>
      </c>
      <c r="P19" s="5">
        <v>16.740333233333335</v>
      </c>
      <c r="Q19" s="5">
        <v>17.053424533333335</v>
      </c>
    </row>
    <row r="20" spans="1:17">
      <c r="A20" s="2">
        <v>40725</v>
      </c>
      <c r="B20" s="3">
        <v>0.11233855083870965</v>
      </c>
      <c r="C20" s="3">
        <v>0.11233855083870965</v>
      </c>
      <c r="D20" s="3">
        <v>0.11233855083870965</v>
      </c>
      <c r="E20" s="3">
        <v>9.4113721838709648E-3</v>
      </c>
      <c r="F20" s="4">
        <v>320.29598730000004</v>
      </c>
      <c r="G20" s="6">
        <v>4.8725589039999999</v>
      </c>
      <c r="H20" s="5">
        <v>30.245907082824456</v>
      </c>
      <c r="I20" s="6">
        <v>1.8912425454957613</v>
      </c>
      <c r="J20" s="4">
        <v>1064.5038110901523</v>
      </c>
      <c r="K20" s="5">
        <v>16.193951182146229</v>
      </c>
      <c r="L20" s="4">
        <v>333.02962809060853</v>
      </c>
      <c r="M20" s="5">
        <v>10.4163118049518</v>
      </c>
      <c r="N20" s="5">
        <v>24.356824615399997</v>
      </c>
      <c r="O20" s="5">
        <v>51.8459912</v>
      </c>
      <c r="P20" s="5">
        <v>18.743225838709677</v>
      </c>
      <c r="Q20" s="5">
        <v>18.821929645161291</v>
      </c>
    </row>
    <row r="21" spans="1:17">
      <c r="A21" s="2">
        <v>40756</v>
      </c>
      <c r="B21" s="3">
        <v>0.39294850203225812</v>
      </c>
      <c r="C21" s="3">
        <v>0.39294850203225812</v>
      </c>
      <c r="D21" s="3">
        <v>0.39294850203225812</v>
      </c>
      <c r="E21" s="3">
        <v>4.0023570429032249E-2</v>
      </c>
      <c r="F21" s="4">
        <v>1105.6956690000002</v>
      </c>
      <c r="G21" s="5">
        <v>34.107629046999996</v>
      </c>
      <c r="H21" s="4">
        <v>125.54650220016794</v>
      </c>
      <c r="I21" s="6">
        <v>8.2607952859508984</v>
      </c>
      <c r="J21" s="4">
        <v>1050.5688224599228</v>
      </c>
      <c r="K21" s="5">
        <v>32.407120067794018</v>
      </c>
      <c r="L21" s="4">
        <v>429.16279992665898</v>
      </c>
      <c r="M21" s="5">
        <v>20.046397213969676</v>
      </c>
      <c r="N21" s="5">
        <v>97.302252695999996</v>
      </c>
      <c r="O21" s="5">
        <v>65.953225719999992</v>
      </c>
      <c r="P21" s="5">
        <v>16.64903212903226</v>
      </c>
      <c r="Q21" s="5">
        <v>16.616274193548385</v>
      </c>
    </row>
    <row r="22" spans="1:17">
      <c r="A22" s="2">
        <v>40787</v>
      </c>
      <c r="B22" s="3">
        <v>0.81599321766666688</v>
      </c>
      <c r="C22" s="3">
        <v>0.81599321766666688</v>
      </c>
      <c r="D22" s="3">
        <v>0.81599321766666688</v>
      </c>
      <c r="E22" s="3">
        <v>8.4856177000000019E-2</v>
      </c>
      <c r="F22" s="4">
        <v>2261.9139289999998</v>
      </c>
      <c r="G22" s="5">
        <v>58.332874060000002</v>
      </c>
      <c r="H22" s="4">
        <v>249.15940005390664</v>
      </c>
      <c r="I22" s="5">
        <v>10.107425640334363</v>
      </c>
      <c r="J22" s="4">
        <v>1069.4352648086583</v>
      </c>
      <c r="K22" s="5">
        <v>27.579843138711713</v>
      </c>
      <c r="L22" s="4">
        <v>345.82727495951411</v>
      </c>
      <c r="M22" s="5">
        <v>13.949713896006047</v>
      </c>
      <c r="N22" s="5">
        <v>83.175431839999987</v>
      </c>
      <c r="O22" s="5">
        <v>59.263400800000007</v>
      </c>
      <c r="P22" s="5">
        <v>13.259000033333335</v>
      </c>
      <c r="Q22" s="5">
        <v>12.810109799999996</v>
      </c>
    </row>
    <row r="23" spans="1:17">
      <c r="A23" s="2">
        <v>40817</v>
      </c>
      <c r="B23" s="3">
        <v>0.56084803838709674</v>
      </c>
      <c r="C23" s="3">
        <v>0.56084803838709674</v>
      </c>
      <c r="D23" s="3">
        <v>0.56084803838709674</v>
      </c>
      <c r="E23" s="3">
        <v>4.6064976645161293E-2</v>
      </c>
      <c r="F23" s="4">
        <v>1513.6041319999997</v>
      </c>
      <c r="G23" s="5">
        <v>30.285999029999999</v>
      </c>
      <c r="H23" s="4">
        <v>133.91524161067849</v>
      </c>
      <c r="I23" s="6">
        <v>5.9428967048077759</v>
      </c>
      <c r="J23" s="4">
        <v>1007.6080822603185</v>
      </c>
      <c r="K23" s="5">
        <v>20.161425597753674</v>
      </c>
      <c r="L23" s="4">
        <v>277.65783905504424</v>
      </c>
      <c r="M23" s="5">
        <v>11.79451155127674</v>
      </c>
      <c r="N23" s="5">
        <v>50.924508453099989</v>
      </c>
      <c r="O23" s="5">
        <v>33.727785309999994</v>
      </c>
      <c r="P23" s="5">
        <v>7.7703226774193546</v>
      </c>
      <c r="Q23" s="5">
        <v>7.2590671903225816</v>
      </c>
    </row>
    <row r="24" spans="1:17">
      <c r="A24" s="2">
        <v>40848</v>
      </c>
      <c r="B24" s="3">
        <v>0.29764332299999996</v>
      </c>
      <c r="C24" s="3">
        <v>0.29764332299999996</v>
      </c>
      <c r="D24" s="3">
        <v>0.29764332299999996</v>
      </c>
      <c r="E24" s="3">
        <v>1.9208137733333335E-2</v>
      </c>
      <c r="F24" s="4">
        <v>760.46323600000005</v>
      </c>
      <c r="G24" s="5">
        <v>13.87539441</v>
      </c>
      <c r="H24" s="5">
        <v>55.727524075206226</v>
      </c>
      <c r="I24" s="6">
        <v>2.630440578326855</v>
      </c>
      <c r="J24" s="4">
        <v>985.70522098459924</v>
      </c>
      <c r="K24" s="5">
        <v>17.985154295944934</v>
      </c>
      <c r="L24" s="4">
        <v>324.0685314786848</v>
      </c>
      <c r="M24" s="5">
        <v>12.897680686369016</v>
      </c>
      <c r="N24" s="5">
        <v>21.554111617</v>
      </c>
      <c r="O24" s="5">
        <v>17.802575606000008</v>
      </c>
      <c r="P24" s="5">
        <v>5.213000013666667</v>
      </c>
      <c r="Q24" s="5">
        <v>4.4306131233333339</v>
      </c>
    </row>
    <row r="25" spans="1:17">
      <c r="A25" s="2">
        <v>40878</v>
      </c>
      <c r="B25" s="6">
        <v>3.5817083564516135</v>
      </c>
      <c r="C25" s="6">
        <v>3.5817083564516135</v>
      </c>
      <c r="D25" s="6">
        <v>3.5817083564516135</v>
      </c>
      <c r="E25" s="3">
        <v>0.35992529154838709</v>
      </c>
      <c r="F25" s="4">
        <v>19450.052123999998</v>
      </c>
      <c r="G25" s="4">
        <v>1422.3996753099998</v>
      </c>
      <c r="H25" s="4">
        <v>1976.397003017662</v>
      </c>
      <c r="I25" s="4">
        <v>105.57206711618149</v>
      </c>
      <c r="J25" s="4">
        <v>2027.473030582421</v>
      </c>
      <c r="K25" s="4">
        <v>148.27091695915092</v>
      </c>
      <c r="L25" s="4">
        <v>1193.8117643563912</v>
      </c>
      <c r="M25" s="5">
        <v>25.922498168172929</v>
      </c>
      <c r="N25" s="5">
        <v>83.250108056000002</v>
      </c>
      <c r="O25" s="5">
        <v>22.522264854899998</v>
      </c>
      <c r="P25" s="5">
        <v>1.6745161506774193</v>
      </c>
      <c r="Q25" s="5">
        <v>1.5781362874193547</v>
      </c>
    </row>
    <row r="26" spans="1:17">
      <c r="A26" s="2">
        <v>40909</v>
      </c>
      <c r="B26" s="6">
        <v>3.9268832064516137</v>
      </c>
      <c r="C26" s="6">
        <v>3.9268832064516137</v>
      </c>
      <c r="D26" s="6">
        <v>3.9268832064516137</v>
      </c>
      <c r="E26" s="3">
        <v>0.33760260935483855</v>
      </c>
      <c r="F26" s="4">
        <v>20697.828219999999</v>
      </c>
      <c r="G26" s="4">
        <v>1062.6604546000001</v>
      </c>
      <c r="H26" s="4">
        <v>1998.0320924171417</v>
      </c>
      <c r="I26" s="5">
        <v>98.500968401055815</v>
      </c>
      <c r="J26" s="4">
        <v>1967.8923244797622</v>
      </c>
      <c r="K26" s="4">
        <v>101.03482280356126</v>
      </c>
      <c r="L26" s="4">
        <v>1165.251985565839</v>
      </c>
      <c r="M26" s="5">
        <v>24.4553563742693</v>
      </c>
      <c r="N26" s="5">
        <v>54.072422062000001</v>
      </c>
      <c r="O26" s="5">
        <v>12.259780352</v>
      </c>
      <c r="P26" s="5">
        <v>-1.8532257935483876</v>
      </c>
      <c r="Q26" s="5">
        <v>0.20746172470967741</v>
      </c>
    </row>
    <row r="27" spans="1:17">
      <c r="A27" s="2">
        <v>40940</v>
      </c>
      <c r="B27" s="6">
        <v>3.3212635765517242</v>
      </c>
      <c r="C27" s="6">
        <v>3.3212635765517242</v>
      </c>
      <c r="D27" s="6">
        <v>3.3212635765517242</v>
      </c>
      <c r="E27" s="3">
        <v>0.31000273986206905</v>
      </c>
      <c r="F27" s="4">
        <v>18488.53499</v>
      </c>
      <c r="G27" s="4">
        <v>1333.5446870000001</v>
      </c>
      <c r="H27" s="4">
        <v>1854.6627585398408</v>
      </c>
      <c r="I27" s="4">
        <v>113.15985428390351</v>
      </c>
      <c r="J27" s="4">
        <v>2221.7100797654198</v>
      </c>
      <c r="K27" s="4">
        <v>160.24794151574292</v>
      </c>
      <c r="L27" s="4">
        <v>1490.8391270125851</v>
      </c>
      <c r="M27" s="5">
        <v>30.294774853500513</v>
      </c>
      <c r="N27" s="5">
        <v>58.278143421899998</v>
      </c>
      <c r="O27" s="5">
        <v>13.803290265800001</v>
      </c>
      <c r="P27" s="5">
        <v>-4.2031034248275834</v>
      </c>
      <c r="Q27" s="5">
        <v>5.6855750406896555E-2</v>
      </c>
    </row>
    <row r="28" spans="1:17">
      <c r="A28" s="2">
        <v>40969</v>
      </c>
      <c r="B28" s="6">
        <v>3.0815529451612909</v>
      </c>
      <c r="C28" s="6">
        <v>3.0815529451612909</v>
      </c>
      <c r="D28" s="6">
        <v>3.0815529451612909</v>
      </c>
      <c r="E28" s="3">
        <v>0.23489195377419364</v>
      </c>
      <c r="F28" s="4">
        <v>13285.6945</v>
      </c>
      <c r="G28" s="4">
        <v>579.02374599999985</v>
      </c>
      <c r="H28" s="4">
        <v>1027.4339996450021</v>
      </c>
      <c r="I28" s="5">
        <v>37.727384537502978</v>
      </c>
      <c r="J28" s="4">
        <v>1609.6786001752571</v>
      </c>
      <c r="K28" s="5">
        <v>70.153812714169206</v>
      </c>
      <c r="L28" s="4">
        <v>854.61379600653595</v>
      </c>
      <c r="M28" s="5">
        <v>17.420924167499727</v>
      </c>
      <c r="N28" s="5">
        <v>19.995781771300003</v>
      </c>
      <c r="O28" s="5">
        <v>19.626923239999996</v>
      </c>
      <c r="P28" s="5">
        <v>3.4361290329354834</v>
      </c>
      <c r="Q28" s="5">
        <v>2.973918427741935</v>
      </c>
    </row>
    <row r="29" spans="1:17">
      <c r="A29" s="2">
        <v>41000</v>
      </c>
      <c r="B29" s="6">
        <v>4.5137038233333326</v>
      </c>
      <c r="C29" s="6">
        <v>4.5137038233333326</v>
      </c>
      <c r="D29" s="6">
        <v>4.5137038233333326</v>
      </c>
      <c r="E29" s="3">
        <v>0.42444521343333336</v>
      </c>
      <c r="F29" s="4">
        <v>21430.291570000005</v>
      </c>
      <c r="G29" s="4">
        <v>1356.3757522000003</v>
      </c>
      <c r="H29" s="4">
        <v>2073.9923137737196</v>
      </c>
      <c r="I29" s="4">
        <v>117.51737378023348</v>
      </c>
      <c r="J29" s="4">
        <v>1831.7238658356091</v>
      </c>
      <c r="K29" s="4">
        <v>115.93430089943234</v>
      </c>
      <c r="L29" s="4">
        <v>1129.8375185273094</v>
      </c>
      <c r="M29" s="5">
        <v>23.413251329332613</v>
      </c>
      <c r="N29" s="5">
        <v>79.539133192999984</v>
      </c>
      <c r="O29" s="5">
        <v>36.052301819</v>
      </c>
      <c r="P29" s="5">
        <v>4.3779999937000005</v>
      </c>
      <c r="Q29" s="5">
        <v>4.7278657233333332</v>
      </c>
    </row>
    <row r="30" spans="1:17">
      <c r="A30" s="2">
        <v>41030</v>
      </c>
      <c r="B30" s="6">
        <v>1.1914724845161291</v>
      </c>
      <c r="C30" s="6">
        <v>1.1914724845161291</v>
      </c>
      <c r="D30" s="6">
        <v>1.1914724845161291</v>
      </c>
      <c r="E30" s="3">
        <v>5.2491058645161293E-2</v>
      </c>
      <c r="F30" s="4">
        <v>3983.4102189999999</v>
      </c>
      <c r="G30" s="4">
        <v>125.3445134</v>
      </c>
      <c r="H30" s="4">
        <v>211.82509682921437</v>
      </c>
      <c r="I30" s="6">
        <v>8.5658286448222203</v>
      </c>
      <c r="J30" s="4">
        <v>1248.2327040139999</v>
      </c>
      <c r="K30" s="5">
        <v>39.277682641672847</v>
      </c>
      <c r="L30" s="4">
        <v>563.62069514929328</v>
      </c>
      <c r="M30" s="5">
        <v>13.008103035604201</v>
      </c>
      <c r="N30" s="5">
        <v>33.503238898000006</v>
      </c>
      <c r="O30" s="5">
        <v>56.362327810000004</v>
      </c>
      <c r="P30" s="5">
        <v>11.407741858064513</v>
      </c>
      <c r="Q30" s="5">
        <v>12.156458300000001</v>
      </c>
    </row>
    <row r="31" spans="1:17">
      <c r="A31" s="2">
        <v>41061</v>
      </c>
      <c r="B31" s="6">
        <v>1.5779766483333331</v>
      </c>
      <c r="C31" s="6">
        <v>1.5779766483333331</v>
      </c>
      <c r="D31" s="6">
        <v>1.5779766483333331</v>
      </c>
      <c r="E31" s="3">
        <v>0.15417272523333331</v>
      </c>
      <c r="F31" s="4">
        <v>4805.3330819999992</v>
      </c>
      <c r="G31" s="4">
        <v>167.5660714</v>
      </c>
      <c r="H31" s="4">
        <v>546.71445093501745</v>
      </c>
      <c r="I31" s="5">
        <v>27.550543255796061</v>
      </c>
      <c r="J31" s="4">
        <v>1174.8648513577705</v>
      </c>
      <c r="K31" s="5">
        <v>40.96854134011248</v>
      </c>
      <c r="L31" s="4">
        <v>516.32104893119367</v>
      </c>
      <c r="M31" s="5">
        <v>12.525999103680176</v>
      </c>
      <c r="N31" s="4">
        <v>127.01061050500002</v>
      </c>
      <c r="O31" s="5">
        <v>88.732846900000013</v>
      </c>
      <c r="P31" s="5">
        <v>13.304333323333335</v>
      </c>
      <c r="Q31" s="5">
        <v>13.983885289999996</v>
      </c>
    </row>
    <row r="32" spans="1:17">
      <c r="A32" s="2">
        <v>41091</v>
      </c>
      <c r="B32" s="3">
        <v>0.64014860419354835</v>
      </c>
      <c r="C32" s="3">
        <v>0.64014860419354835</v>
      </c>
      <c r="D32" s="3">
        <v>0.64014860419354835</v>
      </c>
      <c r="E32" s="3">
        <v>3.9384865322580641E-2</v>
      </c>
      <c r="F32" s="4">
        <v>2005.8882090000002</v>
      </c>
      <c r="G32" s="5">
        <v>52.83578533</v>
      </c>
      <c r="H32" s="4">
        <v>148.22760964947722</v>
      </c>
      <c r="I32" s="6">
        <v>7.0529386103864873</v>
      </c>
      <c r="J32" s="4">
        <v>1169.9046280010846</v>
      </c>
      <c r="K32" s="5">
        <v>30.815690764290704</v>
      </c>
      <c r="L32" s="4">
        <v>469.75630781950116</v>
      </c>
      <c r="M32" s="5">
        <v>11.220759220819994</v>
      </c>
      <c r="N32" s="5">
        <v>63.118068600399994</v>
      </c>
      <c r="O32" s="5">
        <v>84.05715859999998</v>
      </c>
      <c r="P32" s="5">
        <v>17.142580677419353</v>
      </c>
      <c r="Q32" s="5">
        <v>17.530459516129032</v>
      </c>
    </row>
    <row r="33" spans="1:17">
      <c r="A33" s="2">
        <v>41122</v>
      </c>
      <c r="B33" s="3">
        <v>0.91932193741935475</v>
      </c>
      <c r="C33" s="3">
        <v>0.91932193741935475</v>
      </c>
      <c r="D33" s="3">
        <v>0.91932193741935475</v>
      </c>
      <c r="E33" s="3">
        <v>9.813453777419355E-2</v>
      </c>
      <c r="F33" s="4">
        <v>2702.502504</v>
      </c>
      <c r="G33" s="4">
        <v>111.62388529</v>
      </c>
      <c r="H33" s="4">
        <v>330.49924503856914</v>
      </c>
      <c r="I33" s="5">
        <v>25.535126307039327</v>
      </c>
      <c r="J33" s="4">
        <v>1097.5467280987211</v>
      </c>
      <c r="K33" s="5">
        <v>45.332957074999648</v>
      </c>
      <c r="L33" s="4">
        <v>421.35357413450907</v>
      </c>
      <c r="M33" s="5">
        <v>12.70506359755986</v>
      </c>
      <c r="N33" s="4">
        <v>146.34179096600002</v>
      </c>
      <c r="O33" s="5">
        <v>89.824099599999997</v>
      </c>
      <c r="P33" s="5">
        <v>16.191290225806455</v>
      </c>
      <c r="Q33" s="5">
        <v>16.204522548387096</v>
      </c>
    </row>
    <row r="34" spans="1:17">
      <c r="A34" s="2">
        <v>41153</v>
      </c>
      <c r="B34" s="6">
        <v>3.248935191333334</v>
      </c>
      <c r="C34" s="6">
        <v>3.248935191333334</v>
      </c>
      <c r="D34" s="6">
        <v>3.248935191333334</v>
      </c>
      <c r="E34" s="3">
        <v>0.29403545543333337</v>
      </c>
      <c r="F34" s="4">
        <v>14701.833058000007</v>
      </c>
      <c r="G34" s="4">
        <v>1168.1946993000001</v>
      </c>
      <c r="H34" s="4">
        <v>1398.9858647390222</v>
      </c>
      <c r="I34" s="5">
        <v>78.654321166184516</v>
      </c>
      <c r="J34" s="4">
        <v>1745.8038056266432</v>
      </c>
      <c r="K34" s="4">
        <v>138.7200279706536</v>
      </c>
      <c r="L34" s="4">
        <v>991.26250360967947</v>
      </c>
      <c r="M34" s="5">
        <v>22.409811050162883</v>
      </c>
      <c r="N34" s="5">
        <v>73.649532288000003</v>
      </c>
      <c r="O34" s="5">
        <v>57.241189320000011</v>
      </c>
      <c r="P34" s="5">
        <v>11.801999996666664</v>
      </c>
      <c r="Q34" s="5">
        <v>11.924098880000004</v>
      </c>
    </row>
    <row r="35" spans="1:17">
      <c r="A35" s="2">
        <v>41183</v>
      </c>
      <c r="B35" s="6">
        <v>3.5698477483870961</v>
      </c>
      <c r="C35" s="6">
        <v>3.5698477483870961</v>
      </c>
      <c r="D35" s="6">
        <v>3.5698477483870961</v>
      </c>
      <c r="E35" s="3">
        <v>0.33799447583870973</v>
      </c>
      <c r="F35" s="4">
        <v>17851.16894</v>
      </c>
      <c r="G35" s="4">
        <v>1112.6770818999998</v>
      </c>
      <c r="H35" s="4">
        <v>1772.8658248235351</v>
      </c>
      <c r="I35" s="5">
        <v>97.161705647210852</v>
      </c>
      <c r="J35" s="4">
        <v>1866.9879129510452</v>
      </c>
      <c r="K35" s="4">
        <v>116.37079251502793</v>
      </c>
      <c r="L35" s="4">
        <v>1110.0403946922927</v>
      </c>
      <c r="M35" s="5">
        <v>25.054992851481124</v>
      </c>
      <c r="N35" s="5">
        <v>77.228904934000013</v>
      </c>
      <c r="O35" s="5">
        <v>36.021874519000008</v>
      </c>
      <c r="P35" s="5">
        <v>6.0877418973870991</v>
      </c>
      <c r="Q35" s="5">
        <v>6.3022083841935492</v>
      </c>
    </row>
    <row r="36" spans="1:17">
      <c r="A36" s="2">
        <v>41214</v>
      </c>
      <c r="B36" s="6">
        <v>3.2660448900000008</v>
      </c>
      <c r="C36" s="6">
        <v>3.2660448900000008</v>
      </c>
      <c r="D36" s="6">
        <v>3.2660448900000008</v>
      </c>
      <c r="E36" s="3">
        <v>0.28765556703333328</v>
      </c>
      <c r="F36" s="4">
        <v>14527.479480000002</v>
      </c>
      <c r="G36" s="4">
        <v>894.83266960000003</v>
      </c>
      <c r="H36" s="4">
        <v>1416.6623518171416</v>
      </c>
      <c r="I36" s="5">
        <v>80.409284314676654</v>
      </c>
      <c r="J36" s="4">
        <v>1716.0625383153533</v>
      </c>
      <c r="K36" s="4">
        <v>105.70235691571688</v>
      </c>
      <c r="L36" s="4">
        <v>973.73471081089542</v>
      </c>
      <c r="M36" s="5">
        <v>22.287566257154989</v>
      </c>
      <c r="N36" s="5">
        <v>63.341328333</v>
      </c>
      <c r="O36" s="5">
        <v>24.365513553000003</v>
      </c>
      <c r="P36" s="5">
        <v>3.8839999683333328</v>
      </c>
      <c r="Q36" s="5">
        <v>3.5442005689999996</v>
      </c>
    </row>
    <row r="37" spans="1:17">
      <c r="A37" s="2">
        <v>41244</v>
      </c>
      <c r="B37" s="6">
        <v>2.6286213129032259</v>
      </c>
      <c r="C37" s="6">
        <v>2.6286213129032259</v>
      </c>
      <c r="D37" s="6">
        <v>2.6286213129032259</v>
      </c>
      <c r="E37" s="3">
        <v>0.21425968709677423</v>
      </c>
      <c r="F37" s="4">
        <v>12313.453830000004</v>
      </c>
      <c r="G37" s="4">
        <v>606.80288179999991</v>
      </c>
      <c r="H37" s="4">
        <v>1168.8161656589614</v>
      </c>
      <c r="I37" s="5">
        <v>58.660118956855186</v>
      </c>
      <c r="J37" s="4">
        <v>1748.9460426361413</v>
      </c>
      <c r="K37" s="5">
        <v>86.187476081476646</v>
      </c>
      <c r="L37" s="4">
        <v>1044.1240468790022</v>
      </c>
      <c r="M37" s="5">
        <v>22.561901752555052</v>
      </c>
      <c r="N37" s="5">
        <v>90.680998983000009</v>
      </c>
      <c r="O37" s="5">
        <v>18.932124480299997</v>
      </c>
      <c r="P37" s="5">
        <v>-3.9145161139032263</v>
      </c>
      <c r="Q37" s="5">
        <v>9.8098660987096784E-2</v>
      </c>
    </row>
    <row r="38" spans="1:17">
      <c r="A38" s="2">
        <v>41275</v>
      </c>
      <c r="B38" s="6">
        <v>3.9025718064516135</v>
      </c>
      <c r="C38" s="6">
        <v>3.9025718064516135</v>
      </c>
      <c r="D38" s="6">
        <v>3.9025718064516135</v>
      </c>
      <c r="E38" s="3">
        <v>0.34584198903225799</v>
      </c>
      <c r="F38" s="4">
        <v>21594.647279999997</v>
      </c>
      <c r="G38" s="4">
        <v>1430.3964329</v>
      </c>
      <c r="H38" s="4">
        <v>2037.4755277216559</v>
      </c>
      <c r="I38" s="4">
        <v>108.71599191218472</v>
      </c>
      <c r="J38" s="4">
        <v>2065.9497363736978</v>
      </c>
      <c r="K38" s="4">
        <v>136.84535370079865</v>
      </c>
      <c r="L38" s="4">
        <v>1342.4562948771395</v>
      </c>
      <c r="M38" s="5">
        <v>27.386915568893798</v>
      </c>
      <c r="N38" s="5">
        <v>31.105133039999998</v>
      </c>
      <c r="O38" s="6">
        <v>7.6266807804000019</v>
      </c>
      <c r="P38" s="5">
        <v>-4.3603225848451617</v>
      </c>
      <c r="Q38" s="5">
        <v>0.24246266604715472</v>
      </c>
    </row>
    <row r="39" spans="1:17">
      <c r="A39" s="2">
        <v>41306</v>
      </c>
      <c r="B39" s="6">
        <v>2.9981853214285712</v>
      </c>
      <c r="C39" s="6">
        <v>2.9981853214285712</v>
      </c>
      <c r="D39" s="6">
        <v>2.9981853214285712</v>
      </c>
      <c r="E39" s="3">
        <v>0.24637958542857138</v>
      </c>
      <c r="F39" s="4">
        <v>15567.180589999998</v>
      </c>
      <c r="G39" s="4">
        <v>824.60249289999979</v>
      </c>
      <c r="H39" s="4">
        <v>1405.1768252431793</v>
      </c>
      <c r="I39" s="5">
        <v>73.87648457101271</v>
      </c>
      <c r="J39" s="4">
        <v>2146.2470022954567</v>
      </c>
      <c r="K39" s="4">
        <v>113.68793298709078</v>
      </c>
      <c r="L39" s="4">
        <v>1460.5573413710549</v>
      </c>
      <c r="M39" s="5">
        <v>29.300411081502812</v>
      </c>
      <c r="N39" s="5">
        <v>37.98517734</v>
      </c>
      <c r="O39" s="6">
        <v>8.2401436360000009</v>
      </c>
      <c r="P39" s="5">
        <v>-2.1053571514642857</v>
      </c>
      <c r="Q39" s="5">
        <v>0.14518418501321428</v>
      </c>
    </row>
    <row r="40" spans="1:17">
      <c r="A40" s="2">
        <v>41334</v>
      </c>
      <c r="B40" s="6">
        <v>1.9720421809677415</v>
      </c>
      <c r="C40" s="6">
        <v>1.9720421809677415</v>
      </c>
      <c r="D40" s="6">
        <v>1.9720421809677415</v>
      </c>
      <c r="E40" s="3">
        <v>0.16166222687096773</v>
      </c>
      <c r="F40" s="4">
        <v>11199.127939999998</v>
      </c>
      <c r="G40" s="4">
        <v>510.42237670000009</v>
      </c>
      <c r="H40" s="4">
        <v>987.61061995585248</v>
      </c>
      <c r="I40" s="5">
        <v>49.944678865716604</v>
      </c>
      <c r="J40" s="4">
        <v>2120.2766988335429</v>
      </c>
      <c r="K40" s="5">
        <v>96.635801509012424</v>
      </c>
      <c r="L40" s="4">
        <v>1463.9617038054862</v>
      </c>
      <c r="M40" s="5">
        <v>29.060476066154056</v>
      </c>
      <c r="N40" s="6">
        <v>4.4959097659999996</v>
      </c>
      <c r="O40" s="6">
        <v>1.4726554568999999</v>
      </c>
      <c r="P40" s="5">
        <v>-3.6983870948387096</v>
      </c>
      <c r="Q40" s="5">
        <v>9.9152828974677448E-2</v>
      </c>
    </row>
    <row r="41" spans="1:17">
      <c r="A41" s="2">
        <v>41365</v>
      </c>
      <c r="B41" s="6">
        <v>6.6807555386666673</v>
      </c>
      <c r="C41" s="6">
        <v>6.6807555386666673</v>
      </c>
      <c r="D41" s="6">
        <v>6.6807555386666673</v>
      </c>
      <c r="E41" s="3">
        <v>0.62643648963333332</v>
      </c>
      <c r="F41" s="4">
        <v>29608.818999999996</v>
      </c>
      <c r="G41" s="4">
        <v>2128.7710589000008</v>
      </c>
      <c r="H41" s="4">
        <v>2457.5543705081941</v>
      </c>
      <c r="I41" s="4">
        <v>133.98005518884207</v>
      </c>
      <c r="J41" s="4">
        <v>1709.8597374763879</v>
      </c>
      <c r="K41" s="4">
        <v>122.93296677300702</v>
      </c>
      <c r="L41" s="4">
        <v>1094.3718045943385</v>
      </c>
      <c r="M41" s="5">
        <v>21.862076638847252</v>
      </c>
      <c r="N41" s="5">
        <v>37.312608105999999</v>
      </c>
      <c r="O41" s="5">
        <v>26.787658022000002</v>
      </c>
      <c r="P41" s="5">
        <v>4.0616666573</v>
      </c>
      <c r="Q41" s="5">
        <v>2.845766427933333</v>
      </c>
    </row>
    <row r="42" spans="1:17">
      <c r="A42" s="2">
        <v>41395</v>
      </c>
      <c r="B42" s="6">
        <v>1.181734536451613</v>
      </c>
      <c r="C42" s="6">
        <v>1.181734536451613</v>
      </c>
      <c r="D42" s="6">
        <v>1.181734536451613</v>
      </c>
      <c r="E42" s="3">
        <v>3.7157984677419348E-2</v>
      </c>
      <c r="F42" s="4">
        <v>3298.1011879999996</v>
      </c>
      <c r="G42" s="5">
        <v>82.897181249999974</v>
      </c>
      <c r="H42" s="4">
        <v>130.88387457281607</v>
      </c>
      <c r="I42" s="6">
        <v>5.0480137242448189</v>
      </c>
      <c r="J42" s="4">
        <v>1042.0020873782889</v>
      </c>
      <c r="K42" s="5">
        <v>26.190535354525295</v>
      </c>
      <c r="L42" s="4">
        <v>426.26137353973957</v>
      </c>
      <c r="M42" s="6">
        <v>8.792885099792116</v>
      </c>
      <c r="N42" s="5">
        <v>20.194910313699999</v>
      </c>
      <c r="O42" s="5">
        <v>53.546680099999996</v>
      </c>
      <c r="P42" s="5">
        <v>12.869032219354839</v>
      </c>
      <c r="Q42" s="5">
        <v>13.25070490967742</v>
      </c>
    </row>
    <row r="43" spans="1:17">
      <c r="A43" s="2">
        <v>41426</v>
      </c>
      <c r="B43" s="3">
        <v>0.36676488366666676</v>
      </c>
      <c r="C43" s="3">
        <v>0.36676488366666676</v>
      </c>
      <c r="D43" s="3">
        <v>0.36676488366666676</v>
      </c>
      <c r="E43" s="3">
        <v>1.5305092793333334E-2</v>
      </c>
      <c r="F43" s="4">
        <v>966.78650499999992</v>
      </c>
      <c r="G43" s="5">
        <v>14.44383103</v>
      </c>
      <c r="H43" s="5">
        <v>54.620278455836832</v>
      </c>
      <c r="I43" s="6">
        <v>2.5128928981883867</v>
      </c>
      <c r="J43" s="4">
        <v>1016.9692425241584</v>
      </c>
      <c r="K43" s="5">
        <v>15.193563254791776</v>
      </c>
      <c r="L43" s="4">
        <v>339.62454172684471</v>
      </c>
      <c r="M43" s="6">
        <v>5.368050551183063</v>
      </c>
      <c r="N43" s="5">
        <v>62.891872730000003</v>
      </c>
      <c r="O43" s="5">
        <v>72.20001280000001</v>
      </c>
      <c r="P43" s="5">
        <v>16.074666833333328</v>
      </c>
      <c r="Q43" s="5">
        <v>16.579525266666664</v>
      </c>
    </row>
    <row r="44" spans="1:17">
      <c r="A44" s="2">
        <v>41456</v>
      </c>
      <c r="B44" s="3">
        <v>0.12349016248387097</v>
      </c>
      <c r="C44" s="3">
        <v>0.12349016248387097</v>
      </c>
      <c r="D44" s="3">
        <v>0.12349016248387097</v>
      </c>
      <c r="E44" s="3">
        <v>7.7974837612903242E-3</v>
      </c>
      <c r="F44" s="4">
        <v>341.61610889999997</v>
      </c>
      <c r="G44" s="6">
        <v>3.8141535520000005</v>
      </c>
      <c r="H44" s="5">
        <v>24.132669035115075</v>
      </c>
      <c r="I44" s="6">
        <v>1.515596614812464</v>
      </c>
      <c r="J44" s="4">
        <v>1032.8339919785528</v>
      </c>
      <c r="K44" s="5">
        <v>11.531620876122162</v>
      </c>
      <c r="L44" s="4">
        <v>298.28339603528116</v>
      </c>
      <c r="M44" s="6">
        <v>5.9516586295931422</v>
      </c>
      <c r="N44" s="5">
        <v>28.504289386500002</v>
      </c>
      <c r="O44" s="5">
        <v>46.239330910000014</v>
      </c>
      <c r="P44" s="5">
        <v>17.444516064516129</v>
      </c>
      <c r="Q44" s="5">
        <v>17.665415870967738</v>
      </c>
    </row>
    <row r="45" spans="1:17">
      <c r="A45" s="2">
        <v>41487</v>
      </c>
      <c r="B45" s="3">
        <v>0.10431829309677421</v>
      </c>
      <c r="C45" s="3">
        <v>0.10431829309677421</v>
      </c>
      <c r="D45" s="3">
        <v>0.10431829309677421</v>
      </c>
      <c r="E45" s="3">
        <v>1.0994963480645163E-2</v>
      </c>
      <c r="F45" s="4">
        <v>284.49444389999996</v>
      </c>
      <c r="G45" s="6">
        <v>4.6390272299999991</v>
      </c>
      <c r="H45" s="5">
        <v>31.699658330015911</v>
      </c>
      <c r="I45" s="6">
        <v>2.3581160703505653</v>
      </c>
      <c r="J45" s="4">
        <v>1018.2111849934597</v>
      </c>
      <c r="K45" s="5">
        <v>16.603168916420671</v>
      </c>
      <c r="L45" s="4">
        <v>278.03230027554042</v>
      </c>
      <c r="M45" s="5">
        <v>12.528115596558672</v>
      </c>
      <c r="N45" s="5">
        <v>46.829458270000011</v>
      </c>
      <c r="O45" s="5">
        <v>51.964080860000003</v>
      </c>
      <c r="P45" s="5">
        <v>16.87096764516129</v>
      </c>
      <c r="Q45" s="5">
        <v>16.742709193548386</v>
      </c>
    </row>
    <row r="46" spans="1:17">
      <c r="A46" s="2">
        <v>41518</v>
      </c>
      <c r="B46" s="3">
        <v>7.5115136766666674E-2</v>
      </c>
      <c r="C46" s="3">
        <v>7.5115136766666674E-2</v>
      </c>
      <c r="D46" s="3">
        <v>7.5115136766666674E-2</v>
      </c>
      <c r="E46" s="3">
        <v>8.1100672200000012E-3</v>
      </c>
      <c r="F46" s="4">
        <v>189.37402599999999</v>
      </c>
      <c r="G46" s="6">
        <v>4.2914474440000001</v>
      </c>
      <c r="H46" s="5">
        <v>21.858610994805815</v>
      </c>
      <c r="I46" s="6">
        <v>1.8216948661018393</v>
      </c>
      <c r="J46" s="4">
        <v>972.6529961435682</v>
      </c>
      <c r="K46" s="5">
        <v>22.041508906532062</v>
      </c>
      <c r="L46" s="4">
        <v>268.6227673186936</v>
      </c>
      <c r="M46" s="5">
        <v>19.499800672623884</v>
      </c>
      <c r="N46" s="5">
        <v>51.2031255964</v>
      </c>
      <c r="O46" s="5">
        <v>34.7185354</v>
      </c>
      <c r="P46" s="5">
        <v>12.137999966666667</v>
      </c>
      <c r="Q46" s="5">
        <v>11.844266236666666</v>
      </c>
    </row>
    <row r="47" spans="1:17">
      <c r="A47" s="2">
        <v>41548</v>
      </c>
      <c r="B47" s="3">
        <v>0.21592940725806453</v>
      </c>
      <c r="C47" s="3">
        <v>0.21592940725806453</v>
      </c>
      <c r="D47" s="3">
        <v>0.21592940725806453</v>
      </c>
      <c r="E47" s="3">
        <v>2.1655777835483871E-2</v>
      </c>
      <c r="F47" s="4">
        <v>580.97380920000001</v>
      </c>
      <c r="G47" s="5">
        <v>17.353664063</v>
      </c>
      <c r="H47" s="5">
        <v>62.83189693328189</v>
      </c>
      <c r="I47" s="6">
        <v>4.1165499829791568</v>
      </c>
      <c r="J47" s="4">
        <v>1004.5447830788252</v>
      </c>
      <c r="K47" s="5">
        <v>30.005711642212376</v>
      </c>
      <c r="L47" s="4">
        <v>411.25537049226114</v>
      </c>
      <c r="M47" s="5">
        <v>26.082056235386066</v>
      </c>
      <c r="N47" s="5">
        <v>56.937676234999991</v>
      </c>
      <c r="O47" s="5">
        <v>32.474686392999999</v>
      </c>
      <c r="P47" s="5">
        <v>7.836451642580645</v>
      </c>
      <c r="Q47" s="5">
        <v>7.0980447116129017</v>
      </c>
    </row>
    <row r="48" spans="1:17">
      <c r="A48" s="2">
        <v>41579</v>
      </c>
      <c r="B48" s="6">
        <v>1.3652447740000002</v>
      </c>
      <c r="C48" s="6">
        <v>1.3652447740000002</v>
      </c>
      <c r="D48" s="6">
        <v>1.3652447740000002</v>
      </c>
      <c r="E48" s="3">
        <v>0.15817612783333335</v>
      </c>
      <c r="F48" s="4">
        <v>3582.4809450000002</v>
      </c>
      <c r="G48" s="5">
        <v>75.249174900000014</v>
      </c>
      <c r="H48" s="4">
        <v>451.04644570610344</v>
      </c>
      <c r="I48" s="5">
        <v>14.371919770096948</v>
      </c>
      <c r="J48" s="4">
        <v>1012.3678445455987</v>
      </c>
      <c r="K48" s="5">
        <v>21.264550361580891</v>
      </c>
      <c r="L48" s="4">
        <v>210.15277117875007</v>
      </c>
      <c r="M48" s="5">
        <v>10.956599612793051</v>
      </c>
      <c r="N48" s="5">
        <v>63.793486562000005</v>
      </c>
      <c r="O48" s="5">
        <v>22.726054814000001</v>
      </c>
      <c r="P48" s="5">
        <v>3.4359999919999997</v>
      </c>
      <c r="Q48" s="5">
        <v>3.0752284443333338</v>
      </c>
    </row>
    <row r="49" spans="1:17">
      <c r="A49" s="2">
        <v>41609</v>
      </c>
      <c r="B49" s="6">
        <v>2.1281980799999998</v>
      </c>
      <c r="C49" s="6">
        <v>2.1281980799999998</v>
      </c>
      <c r="D49" s="6">
        <v>2.1281980799999998</v>
      </c>
      <c r="E49" s="3">
        <v>0.20680187583870968</v>
      </c>
      <c r="F49" s="4">
        <v>8828.6615880000008</v>
      </c>
      <c r="G49" s="4">
        <v>342.96597039999995</v>
      </c>
      <c r="H49" s="4">
        <v>919.30756106431079</v>
      </c>
      <c r="I49" s="5">
        <v>42.009781769137803</v>
      </c>
      <c r="J49" s="4">
        <v>1548.8429127797933</v>
      </c>
      <c r="K49" s="5">
        <v>60.167717034792531</v>
      </c>
      <c r="L49" s="4">
        <v>829.9661482526941</v>
      </c>
      <c r="M49" s="5">
        <v>19.676229939654956</v>
      </c>
      <c r="N49" s="5">
        <v>54.474434547999998</v>
      </c>
      <c r="O49" s="5">
        <v>19.494891998000003</v>
      </c>
      <c r="P49" s="5">
        <v>2.4706451438709678</v>
      </c>
      <c r="Q49" s="5">
        <v>1.8486017445806453</v>
      </c>
    </row>
    <row r="50" spans="1:17">
      <c r="A50" s="2">
        <v>41640</v>
      </c>
      <c r="B50" s="6">
        <v>2.7141148096774201</v>
      </c>
      <c r="C50" s="6">
        <v>2.7141148096774201</v>
      </c>
      <c r="D50" s="6">
        <v>2.7141148096774201</v>
      </c>
      <c r="E50" s="3">
        <v>0.2391818447096774</v>
      </c>
      <c r="F50" s="4">
        <v>13679.565579999999</v>
      </c>
      <c r="G50" s="4">
        <v>639.69122669999979</v>
      </c>
      <c r="H50" s="4">
        <v>1311.3182438286867</v>
      </c>
      <c r="I50" s="5">
        <v>63.070843205909647</v>
      </c>
      <c r="J50" s="4">
        <v>1881.7790582936896</v>
      </c>
      <c r="K50" s="5">
        <v>87.996767346595178</v>
      </c>
      <c r="L50" s="4">
        <v>1159.4673075975602</v>
      </c>
      <c r="M50" s="5">
        <v>24.286485834111133</v>
      </c>
      <c r="N50" s="5">
        <v>51.035754391200001</v>
      </c>
      <c r="O50" s="5">
        <v>13.735341825699999</v>
      </c>
      <c r="P50" s="5">
        <v>-2.3174193312903224</v>
      </c>
      <c r="Q50" s="5">
        <v>0.93965717461387066</v>
      </c>
    </row>
    <row r="51" spans="1:17">
      <c r="A51" s="2">
        <v>41671</v>
      </c>
      <c r="B51" s="6">
        <v>4.3588734964285711</v>
      </c>
      <c r="C51" s="6">
        <v>4.3588734964285711</v>
      </c>
      <c r="D51" s="6">
        <v>4.3588734964285711</v>
      </c>
      <c r="E51" s="3">
        <v>0.40865550399999995</v>
      </c>
      <c r="F51" s="4">
        <v>21483.348839999999</v>
      </c>
      <c r="G51" s="4">
        <v>1141.3254253000002</v>
      </c>
      <c r="H51" s="4">
        <v>2130.2267191753513</v>
      </c>
      <c r="I51" s="4">
        <v>105.41936254205555</v>
      </c>
      <c r="J51" s="4">
        <v>2037.3043907922163</v>
      </c>
      <c r="K51" s="4">
        <v>108.23393013169952</v>
      </c>
      <c r="L51" s="4">
        <v>1312.1228104392314</v>
      </c>
      <c r="M51" s="5">
        <v>26.185734433000274</v>
      </c>
      <c r="N51" s="5">
        <v>41.495757478000002</v>
      </c>
      <c r="O51" s="5">
        <v>13.741576902000004</v>
      </c>
      <c r="P51" s="5">
        <v>1.5649999903928573</v>
      </c>
      <c r="Q51" s="5">
        <v>0.74176407208571427</v>
      </c>
    </row>
    <row r="52" spans="1:17">
      <c r="A52" s="2">
        <v>41699</v>
      </c>
      <c r="B52" s="6">
        <v>3.4397884354838713</v>
      </c>
      <c r="C52" s="6">
        <v>3.4397884354838713</v>
      </c>
      <c r="D52" s="6">
        <v>3.4397884354838713</v>
      </c>
      <c r="E52" s="3">
        <v>0.29248170129032264</v>
      </c>
      <c r="F52" s="4">
        <v>16693.522939999999</v>
      </c>
      <c r="G52" s="4">
        <v>827.09283430000005</v>
      </c>
      <c r="H52" s="4">
        <v>1532.5445237138849</v>
      </c>
      <c r="I52" s="5">
        <v>74.197118454971559</v>
      </c>
      <c r="J52" s="4">
        <v>1811.927427648099</v>
      </c>
      <c r="K52" s="5">
        <v>89.773274896445756</v>
      </c>
      <c r="L52" s="4">
        <v>1116.7728253570597</v>
      </c>
      <c r="M52" s="5">
        <v>22.307737243918442</v>
      </c>
      <c r="N52" s="5">
        <v>52.335432634599997</v>
      </c>
      <c r="O52" s="5">
        <v>26.126560584</v>
      </c>
      <c r="P52" s="5">
        <v>3.6696774067741944</v>
      </c>
      <c r="Q52" s="5">
        <v>3.678351995483871</v>
      </c>
    </row>
    <row r="53" spans="1:17">
      <c r="A53" s="2">
        <v>41730</v>
      </c>
      <c r="B53" s="6">
        <v>1.8140058073333336</v>
      </c>
      <c r="C53" s="6">
        <v>1.8140058073333336</v>
      </c>
      <c r="D53" s="6">
        <v>1.8140058073333336</v>
      </c>
      <c r="E53" s="3">
        <v>0.12539564923333332</v>
      </c>
      <c r="F53" s="4">
        <v>6970.8104839999996</v>
      </c>
      <c r="G53" s="4">
        <v>236.77443550000004</v>
      </c>
      <c r="H53" s="4">
        <v>548.82627329013974</v>
      </c>
      <c r="I53" s="5">
        <v>23.920832276676407</v>
      </c>
      <c r="J53" s="4">
        <v>1482.550812856246</v>
      </c>
      <c r="K53" s="5">
        <v>50.357146452211644</v>
      </c>
      <c r="L53" s="4">
        <v>812.46028071113631</v>
      </c>
      <c r="M53" s="5">
        <v>16.992388281689671</v>
      </c>
      <c r="N53" s="5">
        <v>37.569710618100011</v>
      </c>
      <c r="O53" s="5">
        <v>34.752938465999996</v>
      </c>
      <c r="P53" s="5">
        <v>6.4619999556666663</v>
      </c>
      <c r="Q53" s="5">
        <v>6.9200966100000008</v>
      </c>
    </row>
    <row r="54" spans="1:17">
      <c r="A54" s="2">
        <v>41760</v>
      </c>
      <c r="B54" s="3">
        <v>0.73971731967741949</v>
      </c>
      <c r="C54" s="3">
        <v>0.73971731967741949</v>
      </c>
      <c r="D54" s="3">
        <v>0.73971731967741949</v>
      </c>
      <c r="E54" s="3">
        <v>4.1577527903225803E-2</v>
      </c>
      <c r="F54" s="4">
        <v>2247.8564430000006</v>
      </c>
      <c r="G54" s="5">
        <v>55.62034199</v>
      </c>
      <c r="H54" s="4">
        <v>141.4249246743087</v>
      </c>
      <c r="I54" s="6">
        <v>6.4283239588443051</v>
      </c>
      <c r="J54" s="4">
        <v>1134.5596435405234</v>
      </c>
      <c r="K54" s="5">
        <v>28.073231677808323</v>
      </c>
      <c r="L54" s="4">
        <v>529.07847749386815</v>
      </c>
      <c r="M54" s="5">
        <v>12.817456679211235</v>
      </c>
      <c r="N54" s="5">
        <v>41.146217602399993</v>
      </c>
      <c r="O54" s="5">
        <v>54.867193439999994</v>
      </c>
      <c r="P54" s="5">
        <v>10.515483935483871</v>
      </c>
      <c r="Q54" s="5">
        <v>11.054222006451612</v>
      </c>
    </row>
    <row r="55" spans="1:17">
      <c r="A55" s="2">
        <v>41791</v>
      </c>
      <c r="B55" s="3">
        <v>0.28823642833333335</v>
      </c>
      <c r="C55" s="3">
        <v>0.28823642833333335</v>
      </c>
      <c r="D55" s="3">
        <v>0.28823642833333335</v>
      </c>
      <c r="E55" s="3">
        <v>1.6122357303333331E-2</v>
      </c>
      <c r="F55" s="4">
        <v>773.98079499999994</v>
      </c>
      <c r="G55" s="5">
        <v>14.180473450000001</v>
      </c>
      <c r="H55" s="5">
        <v>49.103645442604702</v>
      </c>
      <c r="I55" s="6">
        <v>2.5927561549034057</v>
      </c>
      <c r="J55" s="4">
        <v>1035.9679034500959</v>
      </c>
      <c r="K55" s="5">
        <v>18.980465064540084</v>
      </c>
      <c r="L55" s="4">
        <v>417.93260539343242</v>
      </c>
      <c r="M55" s="5">
        <v>10.37271521371698</v>
      </c>
      <c r="N55" s="5">
        <v>48.700767233500002</v>
      </c>
      <c r="O55" s="5">
        <v>56.652352099999995</v>
      </c>
      <c r="P55" s="5">
        <v>13.347999979999996</v>
      </c>
      <c r="Q55" s="5">
        <v>13.992275000000003</v>
      </c>
    </row>
    <row r="56" spans="1:17">
      <c r="A56" s="2">
        <v>41821</v>
      </c>
      <c r="B56" s="3">
        <v>0.12824476941935486</v>
      </c>
      <c r="C56" s="3">
        <v>0.12824476941935486</v>
      </c>
      <c r="D56" s="3">
        <v>0.12824476941935486</v>
      </c>
      <c r="E56" s="3">
        <v>9.4505431354838694E-3</v>
      </c>
      <c r="F56" s="4">
        <v>348.96816869999992</v>
      </c>
      <c r="G56" s="6">
        <v>5.7507861069999997</v>
      </c>
      <c r="H56" s="5">
        <v>26.100482778006256</v>
      </c>
      <c r="I56" s="6">
        <v>1.7293604389104329</v>
      </c>
      <c r="J56" s="4">
        <v>1015.9461712248429</v>
      </c>
      <c r="K56" s="5">
        <v>16.742183713800749</v>
      </c>
      <c r="L56" s="4">
        <v>381.56397343045154</v>
      </c>
      <c r="M56" s="5">
        <v>11.038768762748525</v>
      </c>
      <c r="N56" s="5">
        <v>46.289170804699999</v>
      </c>
      <c r="O56" s="5">
        <v>69.278115700000015</v>
      </c>
      <c r="P56" s="5">
        <v>19.845483741935482</v>
      </c>
      <c r="Q56" s="5">
        <v>19.752421999999996</v>
      </c>
    </row>
    <row r="57" spans="1:17">
      <c r="A57" s="2">
        <v>41852</v>
      </c>
      <c r="B57" s="3">
        <v>0.26563257054838713</v>
      </c>
      <c r="C57" s="3">
        <v>0.26563257054838713</v>
      </c>
      <c r="D57" s="3">
        <v>0.26563257054838713</v>
      </c>
      <c r="E57" s="3">
        <v>2.9697484712903222E-2</v>
      </c>
      <c r="F57" s="4">
        <v>652.16970419999996</v>
      </c>
      <c r="G57" s="5">
        <v>16.571369434999998</v>
      </c>
      <c r="H57" s="5">
        <v>80.334156772502865</v>
      </c>
      <c r="I57" s="6">
        <v>5.7032823550235854</v>
      </c>
      <c r="J57" s="4">
        <v>916.65061079729492</v>
      </c>
      <c r="K57" s="5">
        <v>23.291723191679981</v>
      </c>
      <c r="L57" s="4">
        <v>304.10330669129019</v>
      </c>
      <c r="M57" s="5">
        <v>15.51297175076229</v>
      </c>
      <c r="N57" s="5">
        <v>97.234725521999991</v>
      </c>
      <c r="O57" s="5">
        <v>77.839329400000011</v>
      </c>
      <c r="P57" s="5">
        <v>16.772580612903223</v>
      </c>
      <c r="Q57" s="5">
        <v>16.793018612903222</v>
      </c>
    </row>
    <row r="58" spans="1:17">
      <c r="A58" s="2">
        <v>41883</v>
      </c>
      <c r="B58" s="3">
        <v>0.38161029883333325</v>
      </c>
      <c r="C58" s="3">
        <v>0.38161029883333325</v>
      </c>
      <c r="D58" s="3">
        <v>0.38161029883333325</v>
      </c>
      <c r="E58" s="3">
        <v>4.2297933899999994E-2</v>
      </c>
      <c r="F58" s="4">
        <v>1031.34293</v>
      </c>
      <c r="G58" s="5">
        <v>37.787259830000004</v>
      </c>
      <c r="H58" s="4">
        <v>138.56898573681207</v>
      </c>
      <c r="I58" s="6">
        <v>8.1257508109105991</v>
      </c>
      <c r="J58" s="4">
        <v>1042.6726415604869</v>
      </c>
      <c r="K58" s="5">
        <v>38.202367587479053</v>
      </c>
      <c r="L58" s="4">
        <v>433.36385295568789</v>
      </c>
      <c r="M58" s="5">
        <v>20.423969372358204</v>
      </c>
      <c r="N58" s="5">
        <v>58.271744299999988</v>
      </c>
      <c r="O58" s="5">
        <v>44.305684319999997</v>
      </c>
      <c r="P58" s="5">
        <v>12.504333346666666</v>
      </c>
      <c r="Q58" s="5">
        <v>12.10650175</v>
      </c>
    </row>
    <row r="59" spans="1:17">
      <c r="A59" s="2">
        <v>41913</v>
      </c>
      <c r="B59" s="6">
        <v>1.3326265661290322</v>
      </c>
      <c r="C59" s="6">
        <v>1.3326265661290322</v>
      </c>
      <c r="D59" s="6">
        <v>1.3326265661290322</v>
      </c>
      <c r="E59" s="3">
        <v>0.15268081106451614</v>
      </c>
      <c r="F59" s="4">
        <v>4251.1412600000012</v>
      </c>
      <c r="G59" s="4">
        <v>210.31803161000002</v>
      </c>
      <c r="H59" s="4">
        <v>543.55172742428715</v>
      </c>
      <c r="I59" s="5">
        <v>34.526752170479881</v>
      </c>
      <c r="J59" s="4">
        <v>1191.0270357284942</v>
      </c>
      <c r="K59" s="5">
        <v>58.924050094719149</v>
      </c>
      <c r="L59" s="4">
        <v>343.90982612482787</v>
      </c>
      <c r="M59" s="5">
        <v>12.445890164410798</v>
      </c>
      <c r="N59" s="5">
        <v>76.528862033999999</v>
      </c>
      <c r="O59" s="5">
        <v>41.938730030000002</v>
      </c>
      <c r="P59" s="5">
        <v>8.5974193903225782</v>
      </c>
      <c r="Q59" s="5">
        <v>7.9916204290322588</v>
      </c>
    </row>
    <row r="60" spans="1:17">
      <c r="A60" s="2">
        <v>41944</v>
      </c>
      <c r="B60" s="3">
        <v>0.93067351833333345</v>
      </c>
      <c r="C60" s="3">
        <v>0.93067351833333345</v>
      </c>
      <c r="D60" s="3">
        <v>0.93067351833333345</v>
      </c>
      <c r="E60" s="3">
        <v>8.4956431399999977E-2</v>
      </c>
      <c r="F60" s="4">
        <v>2466.8590089999993</v>
      </c>
      <c r="G60" s="5">
        <v>64.55877910000001</v>
      </c>
      <c r="H60" s="4">
        <v>266.93363209471943</v>
      </c>
      <c r="I60" s="5">
        <v>11.491741475232526</v>
      </c>
      <c r="J60" s="4">
        <v>1022.61451626194</v>
      </c>
      <c r="K60" s="5">
        <v>26.762269177127262</v>
      </c>
      <c r="L60" s="4">
        <v>297.92734084339469</v>
      </c>
      <c r="M60" s="5">
        <v>11.931856509482214</v>
      </c>
      <c r="N60" s="5">
        <v>37.177150306500003</v>
      </c>
      <c r="O60" s="5">
        <v>20.562582959</v>
      </c>
      <c r="P60" s="5">
        <v>4.6076666833666655</v>
      </c>
      <c r="Q60" s="5">
        <v>3.9271993450999996</v>
      </c>
    </row>
    <row r="61" spans="1:17">
      <c r="A61" s="2">
        <v>41974</v>
      </c>
      <c r="B61" s="6">
        <v>2.0170047325806446</v>
      </c>
      <c r="C61" s="6">
        <v>2.0170047325806446</v>
      </c>
      <c r="D61" s="6">
        <v>2.0170047325806446</v>
      </c>
      <c r="E61" s="3">
        <v>0.20281241058064517</v>
      </c>
      <c r="F61" s="4">
        <v>10163.418467</v>
      </c>
      <c r="G61" s="4">
        <v>1071.1178935400001</v>
      </c>
      <c r="H61" s="4">
        <v>1138.0269844512277</v>
      </c>
      <c r="I61" s="5">
        <v>82.752829548742596</v>
      </c>
      <c r="J61" s="4">
        <v>1881.2972994564243</v>
      </c>
      <c r="K61" s="4">
        <v>198.2690354561139</v>
      </c>
      <c r="L61" s="4">
        <v>1142.5113486139064</v>
      </c>
      <c r="M61" s="5">
        <v>25.911385386549306</v>
      </c>
      <c r="N61" s="5">
        <v>45.171556121000002</v>
      </c>
      <c r="O61" s="5">
        <v>11.9312339113</v>
      </c>
      <c r="P61" s="5">
        <v>-0.67903224261290285</v>
      </c>
      <c r="Q61" s="5">
        <v>0.60613387388999995</v>
      </c>
    </row>
    <row r="62" spans="1:17">
      <c r="A62" s="2">
        <v>42005</v>
      </c>
      <c r="B62" s="6">
        <v>4.4579611677419342</v>
      </c>
      <c r="C62" s="6">
        <v>4.4579611677419342</v>
      </c>
      <c r="D62" s="6">
        <v>4.4579611677419342</v>
      </c>
      <c r="E62" s="3">
        <v>0.43512187419354853</v>
      </c>
      <c r="F62" s="4">
        <v>25660.665489999996</v>
      </c>
      <c r="G62" s="4">
        <v>2331.3157769999998</v>
      </c>
      <c r="H62" s="4">
        <v>2649.0748883624901</v>
      </c>
      <c r="I62" s="4">
        <v>163.20334947641987</v>
      </c>
      <c r="J62" s="4">
        <v>2149.0977502034489</v>
      </c>
      <c r="K62" s="4">
        <v>195.24924228485102</v>
      </c>
      <c r="L62" s="4">
        <v>1361.0844526817921</v>
      </c>
      <c r="M62" s="5">
        <v>27.815310645768864</v>
      </c>
      <c r="N62" s="5">
        <v>89.198885850000011</v>
      </c>
      <c r="O62" s="5">
        <v>21.008980508</v>
      </c>
      <c r="P62" s="5">
        <v>0.12870969709032251</v>
      </c>
      <c r="Q62" s="5">
        <v>0.26811260213225807</v>
      </c>
    </row>
    <row r="63" spans="1:17">
      <c r="A63" s="2">
        <v>42036</v>
      </c>
      <c r="B63" s="6">
        <v>5.7158093464285713</v>
      </c>
      <c r="C63" s="6">
        <v>5.7158093464285713</v>
      </c>
      <c r="D63" s="6">
        <v>5.7158093464285713</v>
      </c>
      <c r="E63" s="3">
        <v>0.50521369678571437</v>
      </c>
      <c r="F63" s="4">
        <v>27802.822649999998</v>
      </c>
      <c r="G63" s="4">
        <v>1612.8427579999998</v>
      </c>
      <c r="H63" s="4">
        <v>2567.2514902598409</v>
      </c>
      <c r="I63" s="4">
        <v>122.81078448181918</v>
      </c>
      <c r="J63" s="4">
        <v>2010.6633247064919</v>
      </c>
      <c r="K63" s="4">
        <v>116.63865565648058</v>
      </c>
      <c r="L63" s="4">
        <v>1240.3506087542062</v>
      </c>
      <c r="M63" s="5">
        <v>25.126719596068433</v>
      </c>
      <c r="N63" s="5">
        <v>36.156521149999996</v>
      </c>
      <c r="O63" s="5">
        <v>11.326072128799998</v>
      </c>
      <c r="P63" s="5">
        <v>0.59285714642857135</v>
      </c>
      <c r="Q63" s="5">
        <v>0.79992963874285716</v>
      </c>
    </row>
    <row r="64" spans="1:17">
      <c r="A64" s="2">
        <v>42064</v>
      </c>
      <c r="B64" s="6">
        <v>2.4671099032258068</v>
      </c>
      <c r="C64" s="6">
        <v>2.4671099032258068</v>
      </c>
      <c r="D64" s="6">
        <v>2.4671099032258068</v>
      </c>
      <c r="E64" s="3">
        <v>0.19629137406451613</v>
      </c>
      <c r="F64" s="4">
        <v>9754.8191999999999</v>
      </c>
      <c r="G64" s="4">
        <v>448.9437982</v>
      </c>
      <c r="H64" s="4">
        <v>947.70645070165824</v>
      </c>
      <c r="I64" s="5">
        <v>47.63930844037462</v>
      </c>
      <c r="J64" s="4">
        <v>1476.2342565053275</v>
      </c>
      <c r="K64" s="5">
        <v>67.940387976986059</v>
      </c>
      <c r="L64" s="4">
        <v>769.41973011411324</v>
      </c>
      <c r="M64" s="5">
        <v>16.263543780067593</v>
      </c>
      <c r="N64" s="5">
        <v>48.843136448000003</v>
      </c>
      <c r="O64" s="5">
        <v>22.554901821999998</v>
      </c>
      <c r="P64" s="5">
        <v>3.0951612948387086</v>
      </c>
      <c r="Q64" s="5">
        <v>3.1886198438709679</v>
      </c>
    </row>
    <row r="65" spans="1:17">
      <c r="A65" s="2">
        <v>42095</v>
      </c>
      <c r="B65" s="6">
        <v>1.8271113426666665</v>
      </c>
      <c r="C65" s="6">
        <v>1.8271113426666665</v>
      </c>
      <c r="D65" s="6">
        <v>1.8271113426666665</v>
      </c>
      <c r="E65" s="3">
        <v>0.12887247260000001</v>
      </c>
      <c r="F65" s="4">
        <v>8175.8294639999995</v>
      </c>
      <c r="G65" s="4">
        <v>451.13057770000006</v>
      </c>
      <c r="H65" s="4">
        <v>637.2164186624816</v>
      </c>
      <c r="I65" s="5">
        <v>31.275162192479403</v>
      </c>
      <c r="J65" s="4">
        <v>1726.3616634895745</v>
      </c>
      <c r="K65" s="5">
        <v>95.258169601969101</v>
      </c>
      <c r="L65" s="4">
        <v>1046.0537660703135</v>
      </c>
      <c r="M65" s="5">
        <v>21.481521043418816</v>
      </c>
      <c r="N65" s="5">
        <v>13.874264248999999</v>
      </c>
      <c r="O65" s="5">
        <v>30.471159060000002</v>
      </c>
      <c r="P65" s="5">
        <v>6.5423332966666674</v>
      </c>
      <c r="Q65" s="5">
        <v>6.9656334833333347</v>
      </c>
    </row>
    <row r="66" spans="1:17">
      <c r="A66" s="2">
        <v>42125</v>
      </c>
      <c r="B66" s="6">
        <v>1.8096255661290319</v>
      </c>
      <c r="C66" s="6">
        <v>1.8096255661290319</v>
      </c>
      <c r="D66" s="6">
        <v>1.8096255661290319</v>
      </c>
      <c r="E66" s="3">
        <v>0.16755555412903228</v>
      </c>
      <c r="F66" s="4">
        <v>7687.6506559999998</v>
      </c>
      <c r="G66" s="4">
        <v>504.41834889999996</v>
      </c>
      <c r="H66" s="4">
        <v>756.9607429713368</v>
      </c>
      <c r="I66" s="5">
        <v>45.251554570737355</v>
      </c>
      <c r="J66" s="4">
        <v>1586.0959293540889</v>
      </c>
      <c r="K66" s="4">
        <v>104.07027185340924</v>
      </c>
      <c r="L66" s="4">
        <v>919.75132024329832</v>
      </c>
      <c r="M66" s="5">
        <v>20.605017867160548</v>
      </c>
      <c r="N66" s="4">
        <v>101.37103273799998</v>
      </c>
      <c r="O66" s="5">
        <v>65.523598129999996</v>
      </c>
      <c r="P66" s="5">
        <v>9.6183870774193547</v>
      </c>
      <c r="Q66" s="5">
        <v>10.344470412903224</v>
      </c>
    </row>
    <row r="67" spans="1:17">
      <c r="A67" s="2">
        <v>42156</v>
      </c>
      <c r="B67" s="3">
        <v>0.86022734666666678</v>
      </c>
      <c r="C67" s="3">
        <v>0.86022734666666678</v>
      </c>
      <c r="D67" s="3">
        <v>0.86022734666666678</v>
      </c>
      <c r="E67" s="3">
        <v>5.9608328733333327E-2</v>
      </c>
      <c r="F67" s="4">
        <v>2727.5590370000009</v>
      </c>
      <c r="G67" s="5">
        <v>84.050226409999951</v>
      </c>
      <c r="H67" s="4">
        <v>210.21829567462615</v>
      </c>
      <c r="I67" s="6">
        <v>9.5316368963328717</v>
      </c>
      <c r="J67" s="4">
        <v>1223.2800456103696</v>
      </c>
      <c r="K67" s="5">
        <v>37.695596959513459</v>
      </c>
      <c r="L67" s="4">
        <v>551.93702774774442</v>
      </c>
      <c r="M67" s="5">
        <v>13.203945687108584</v>
      </c>
      <c r="N67" s="5">
        <v>52.218034251999995</v>
      </c>
      <c r="O67" s="5">
        <v>71.738471599999968</v>
      </c>
      <c r="P67" s="5">
        <v>13.846333366666665</v>
      </c>
      <c r="Q67" s="5">
        <v>14.525447700000003</v>
      </c>
    </row>
    <row r="68" spans="1:17">
      <c r="A68" s="2">
        <v>42186</v>
      </c>
      <c r="B68" s="3">
        <v>0.61450670096774196</v>
      </c>
      <c r="C68" s="3">
        <v>0.61450670096774196</v>
      </c>
      <c r="D68" s="3">
        <v>0.61450670096774196</v>
      </c>
      <c r="E68" s="3">
        <v>4.8327146032258066E-2</v>
      </c>
      <c r="F68" s="4">
        <v>1711.7832939999998</v>
      </c>
      <c r="G68" s="5">
        <v>40.162728499999993</v>
      </c>
      <c r="H68" s="4">
        <v>150.66643381927477</v>
      </c>
      <c r="I68" s="6">
        <v>7.1568252021321719</v>
      </c>
      <c r="J68" s="4">
        <v>1040.0320096164883</v>
      </c>
      <c r="K68" s="5">
        <v>24.401758633241048</v>
      </c>
      <c r="L68" s="4">
        <v>388.44558325808413</v>
      </c>
      <c r="M68" s="5">
        <v>11.06571505462724</v>
      </c>
      <c r="N68" s="4">
        <v>109.35248477000002</v>
      </c>
      <c r="O68" s="5">
        <v>90.991718800000001</v>
      </c>
      <c r="P68" s="5">
        <v>16.470322483870969</v>
      </c>
      <c r="Q68" s="5">
        <v>16.897683290322579</v>
      </c>
    </row>
    <row r="69" spans="1:17">
      <c r="A69" s="2">
        <v>42217</v>
      </c>
      <c r="B69" s="3">
        <v>0.32164163612903224</v>
      </c>
      <c r="C69" s="3">
        <v>0.32164163612903224</v>
      </c>
      <c r="D69" s="3">
        <v>0.32164163612903224</v>
      </c>
      <c r="E69" s="3">
        <v>2.2343175648387097E-2</v>
      </c>
      <c r="F69" s="4">
        <v>877.08855300000016</v>
      </c>
      <c r="G69" s="5">
        <v>18.27290683</v>
      </c>
      <c r="H69" s="5">
        <v>68.800769704102422</v>
      </c>
      <c r="I69" s="6">
        <v>3.2278795853743727</v>
      </c>
      <c r="J69" s="4">
        <v>1018.1123817279413</v>
      </c>
      <c r="K69" s="5">
        <v>21.210939869888517</v>
      </c>
      <c r="L69" s="4">
        <v>297.59798103169697</v>
      </c>
      <c r="M69" s="6">
        <v>9.0078021067744398</v>
      </c>
      <c r="N69" s="5">
        <v>12.258372589999999</v>
      </c>
      <c r="O69" s="5">
        <v>54.089378100000005</v>
      </c>
      <c r="P69" s="5">
        <v>17.020967806451612</v>
      </c>
      <c r="Q69" s="5">
        <v>16.884407322580639</v>
      </c>
    </row>
    <row r="70" spans="1:17">
      <c r="A70" s="2">
        <v>42248</v>
      </c>
      <c r="B70" s="6">
        <v>1.3379277170000001</v>
      </c>
      <c r="C70" s="6">
        <v>1.3379277170000001</v>
      </c>
      <c r="D70" s="6">
        <v>1.3379277170000001</v>
      </c>
      <c r="E70" s="3">
        <v>0.16440750643333329</v>
      </c>
      <c r="F70" s="4">
        <v>3689.0213079999999</v>
      </c>
      <c r="G70" s="4">
        <v>144.18145514999998</v>
      </c>
      <c r="H70" s="4">
        <v>515.6289597366607</v>
      </c>
      <c r="I70" s="5">
        <v>27.155218280057316</v>
      </c>
      <c r="J70" s="4">
        <v>1063.7595910089778</v>
      </c>
      <c r="K70" s="5">
        <v>41.575906001947324</v>
      </c>
      <c r="L70" s="4">
        <v>345.04038818225604</v>
      </c>
      <c r="M70" s="5">
        <v>11.009143016109929</v>
      </c>
      <c r="N70" s="4">
        <v>129.57373638640001</v>
      </c>
      <c r="O70" s="5">
        <v>69.85808990000001</v>
      </c>
      <c r="P70" s="5">
        <v>12.70266665666667</v>
      </c>
      <c r="Q70" s="5">
        <v>12.566671843333335</v>
      </c>
    </row>
    <row r="71" spans="1:17">
      <c r="A71" s="2">
        <v>42278</v>
      </c>
      <c r="B71" s="3">
        <v>0.35805195161290326</v>
      </c>
      <c r="C71" s="3">
        <v>0.35805195161290326</v>
      </c>
      <c r="D71" s="3">
        <v>0.35805195161290326</v>
      </c>
      <c r="E71" s="3">
        <v>2.2287283354838712E-2</v>
      </c>
      <c r="F71" s="4">
        <v>942.54877400000021</v>
      </c>
      <c r="G71" s="5">
        <v>19.017160529999998</v>
      </c>
      <c r="H71" s="5">
        <v>80.282201647678747</v>
      </c>
      <c r="I71" s="6">
        <v>3.7978119659110616</v>
      </c>
      <c r="J71" s="4">
        <v>982.83887709867258</v>
      </c>
      <c r="K71" s="5">
        <v>19.830066197996494</v>
      </c>
      <c r="L71" s="4">
        <v>314.49056463889275</v>
      </c>
      <c r="M71" s="6">
        <v>9.855293466298777</v>
      </c>
      <c r="N71" s="6">
        <v>2.4741874340000001</v>
      </c>
      <c r="O71" s="5">
        <v>18.808565519999998</v>
      </c>
      <c r="P71" s="5">
        <v>6.6725806741935481</v>
      </c>
      <c r="Q71" s="5">
        <v>6.209725390322582</v>
      </c>
    </row>
    <row r="72" spans="1:17">
      <c r="A72" s="2">
        <v>42309</v>
      </c>
      <c r="B72" s="3">
        <v>0.86227817466666667</v>
      </c>
      <c r="C72" s="3">
        <v>0.86227817466666667</v>
      </c>
      <c r="D72" s="3">
        <v>0.86227817466666667</v>
      </c>
      <c r="E72" s="3">
        <v>0.10260528655666666</v>
      </c>
      <c r="F72" s="4">
        <v>2621.3857540000004</v>
      </c>
      <c r="G72" s="4">
        <v>100.54353717999999</v>
      </c>
      <c r="H72" s="4">
        <v>422.72042823173638</v>
      </c>
      <c r="I72" s="5">
        <v>23.252939918245566</v>
      </c>
      <c r="J72" s="4">
        <v>1172.8663214918395</v>
      </c>
      <c r="K72" s="5">
        <v>44.985417446049432</v>
      </c>
      <c r="L72" s="4">
        <v>545.61926770611501</v>
      </c>
      <c r="M72" s="5">
        <v>17.009483792264589</v>
      </c>
      <c r="N72" s="5">
        <v>70.601976305999997</v>
      </c>
      <c r="O72" s="5">
        <v>25.621746442540001</v>
      </c>
      <c r="P72" s="5">
        <v>4.1463333166666665</v>
      </c>
      <c r="Q72" s="5">
        <v>3.7159018767333336</v>
      </c>
    </row>
    <row r="73" spans="1:17">
      <c r="A73" s="2">
        <v>42339</v>
      </c>
      <c r="B73" s="6">
        <v>2.3337875535483867</v>
      </c>
      <c r="C73" s="6">
        <v>2.3337875535483867</v>
      </c>
      <c r="D73" s="6">
        <v>2.3337875535483867</v>
      </c>
      <c r="E73" s="3">
        <v>0.21142277954838715</v>
      </c>
      <c r="F73" s="4">
        <v>12448.605149999999</v>
      </c>
      <c r="G73" s="4">
        <v>958.09150360000035</v>
      </c>
      <c r="H73" s="4">
        <v>1200.8107788032589</v>
      </c>
      <c r="I73" s="5">
        <v>69.24732906679796</v>
      </c>
      <c r="J73" s="4">
        <v>1991.516590751947</v>
      </c>
      <c r="K73" s="4">
        <v>153.27460947064466</v>
      </c>
      <c r="L73" s="4">
        <v>1235.3818316221525</v>
      </c>
      <c r="M73" s="5">
        <v>26.781328870188588</v>
      </c>
      <c r="N73" s="5">
        <v>32.453282162000001</v>
      </c>
      <c r="O73" s="5">
        <v>16.715498959000001</v>
      </c>
      <c r="P73" s="5">
        <v>2.7180645034838715</v>
      </c>
      <c r="Q73" s="5">
        <v>2.4338996316000001</v>
      </c>
    </row>
    <row r="74" spans="1:17">
      <c r="A74" s="2">
        <v>42370</v>
      </c>
      <c r="B74" s="6">
        <v>1.9164581570967743</v>
      </c>
      <c r="C74" s="6">
        <v>1.9164581570967743</v>
      </c>
      <c r="D74" s="6">
        <v>1.9164581570967743</v>
      </c>
      <c r="E74" s="3">
        <v>0.18501279251612901</v>
      </c>
      <c r="F74" s="4">
        <v>10499.378604</v>
      </c>
      <c r="G74" s="4">
        <v>796.02461470000003</v>
      </c>
      <c r="H74" s="4">
        <v>1094.2946639137115</v>
      </c>
      <c r="I74" s="5">
        <v>69.198489593352932</v>
      </c>
      <c r="J74" s="4">
        <v>2045.4496845870674</v>
      </c>
      <c r="K74" s="4">
        <v>155.07854112083589</v>
      </c>
      <c r="L74" s="4">
        <v>1341.7240528908876</v>
      </c>
      <c r="M74" s="5">
        <v>27.223637883672975</v>
      </c>
      <c r="N74" s="5">
        <v>39.357050545000007</v>
      </c>
      <c r="O74" s="5">
        <v>10.052780757000001</v>
      </c>
      <c r="P74" s="5">
        <v>-5.2583871125806452</v>
      </c>
      <c r="Q74" s="5">
        <v>6.793008131290322E-2</v>
      </c>
    </row>
    <row r="75" spans="1:17">
      <c r="A75" s="2">
        <v>42401</v>
      </c>
      <c r="B75" s="6">
        <v>3.2320323379310345</v>
      </c>
      <c r="C75" s="6">
        <v>3.2320323379310345</v>
      </c>
      <c r="D75" s="6">
        <v>3.2320323379310345</v>
      </c>
      <c r="E75" s="3">
        <v>0.27912828689655172</v>
      </c>
      <c r="F75" s="4">
        <v>16136.948649999997</v>
      </c>
      <c r="G75" s="4">
        <v>882.6928909999998</v>
      </c>
      <c r="H75" s="4">
        <v>1483.0949972827771</v>
      </c>
      <c r="I75" s="5">
        <v>72.436607706174158</v>
      </c>
      <c r="J75" s="4">
        <v>1992.6634753812941</v>
      </c>
      <c r="K75" s="4">
        <v>108.99891264532614</v>
      </c>
      <c r="L75" s="4">
        <v>1230.8453044763951</v>
      </c>
      <c r="M75" s="5">
        <v>24.45238581892373</v>
      </c>
      <c r="N75" s="5">
        <v>33.383236558</v>
      </c>
      <c r="O75" s="6">
        <v>9.1914148460000007</v>
      </c>
      <c r="P75" s="5">
        <v>-0.66655173137931023</v>
      </c>
      <c r="Q75" s="5">
        <v>0.32568140127586198</v>
      </c>
    </row>
    <row r="76" spans="1:17">
      <c r="A76" s="2">
        <v>42430</v>
      </c>
      <c r="B76" s="6">
        <v>1.8751073516129031</v>
      </c>
      <c r="C76" s="6">
        <v>1.8751073516129031</v>
      </c>
      <c r="D76" s="6">
        <v>1.8751073516129031</v>
      </c>
      <c r="E76" s="3">
        <v>0.1475921538064516</v>
      </c>
      <c r="F76" s="4">
        <v>8196.84</v>
      </c>
      <c r="G76" s="4">
        <v>317.84555550000005</v>
      </c>
      <c r="H76" s="4">
        <v>699.98285342240445</v>
      </c>
      <c r="I76" s="5">
        <v>30.62686673483886</v>
      </c>
      <c r="J76" s="4">
        <v>1632.092839219742</v>
      </c>
      <c r="K76" s="5">
        <v>63.287004750154175</v>
      </c>
      <c r="L76" s="4">
        <v>930.84901564519907</v>
      </c>
      <c r="M76" s="5">
        <v>18.509283855756625</v>
      </c>
      <c r="N76" s="5">
        <v>21.441146458000002</v>
      </c>
      <c r="O76" s="5">
        <v>14.008652445999999</v>
      </c>
      <c r="P76" s="5">
        <v>2.2858064509032263</v>
      </c>
      <c r="Q76" s="5">
        <v>1.7814629507387096</v>
      </c>
    </row>
    <row r="77" spans="1:17">
      <c r="A77" s="2">
        <v>42461</v>
      </c>
      <c r="B77" s="3">
        <v>0.8300186666666669</v>
      </c>
      <c r="C77" s="3">
        <v>0.8300186666666669</v>
      </c>
      <c r="D77" s="3">
        <v>0.8300186666666669</v>
      </c>
      <c r="E77" s="3">
        <v>5.2340610133333333E-2</v>
      </c>
      <c r="F77" s="4">
        <v>2669.0917979999999</v>
      </c>
      <c r="G77" s="5">
        <v>62.25130450000001</v>
      </c>
      <c r="H77" s="4">
        <v>204.48576690475633</v>
      </c>
      <c r="I77" s="6">
        <v>8.6515463605025218</v>
      </c>
      <c r="J77" s="4">
        <v>1240.625297954967</v>
      </c>
      <c r="K77" s="5">
        <v>28.935139554320699</v>
      </c>
      <c r="L77" s="4">
        <v>617.65501195528896</v>
      </c>
      <c r="M77" s="5">
        <v>13.089276036102452</v>
      </c>
      <c r="N77" s="5">
        <v>37.21361321900001</v>
      </c>
      <c r="O77" s="5">
        <v>30.824844179999999</v>
      </c>
      <c r="P77" s="5">
        <v>5.2929999866666666</v>
      </c>
      <c r="Q77" s="5">
        <v>5.9078802966666659</v>
      </c>
    </row>
    <row r="78" spans="1:17">
      <c r="A78" s="2">
        <v>42491</v>
      </c>
      <c r="B78" s="3">
        <v>0.48773402516129022</v>
      </c>
      <c r="C78" s="3">
        <v>0.48773402516129022</v>
      </c>
      <c r="D78" s="3">
        <v>0.48773402516129022</v>
      </c>
      <c r="E78" s="3">
        <v>3.125805296774193E-2</v>
      </c>
      <c r="F78" s="4">
        <v>1580.2657459999998</v>
      </c>
      <c r="G78" s="5">
        <v>39.054340299999993</v>
      </c>
      <c r="H78" s="4">
        <v>119.20149909811562</v>
      </c>
      <c r="I78" s="6">
        <v>5.7416601027821441</v>
      </c>
      <c r="J78" s="4">
        <v>1209.6831224339355</v>
      </c>
      <c r="K78" s="5">
        <v>29.895843080706864</v>
      </c>
      <c r="L78" s="4">
        <v>598.29449247819105</v>
      </c>
      <c r="M78" s="5">
        <v>14.320342080415537</v>
      </c>
      <c r="N78" s="5">
        <v>23.031711506000001</v>
      </c>
      <c r="O78" s="5">
        <v>53.343687450000004</v>
      </c>
      <c r="P78" s="5">
        <v>12.03903230967742</v>
      </c>
      <c r="Q78" s="5">
        <v>12.305345212903227</v>
      </c>
    </row>
    <row r="79" spans="1:17">
      <c r="A79" s="2">
        <v>42522</v>
      </c>
      <c r="B79" s="3">
        <v>0.38549464400000011</v>
      </c>
      <c r="C79" s="3">
        <v>0.38549464400000011</v>
      </c>
      <c r="D79" s="3">
        <v>0.38549464400000011</v>
      </c>
      <c r="E79" s="3">
        <v>3.5054577366666659E-2</v>
      </c>
      <c r="F79" s="4">
        <v>1146.27242</v>
      </c>
      <c r="G79" s="5">
        <v>28.061033899999995</v>
      </c>
      <c r="H79" s="4">
        <v>122.0867287458011</v>
      </c>
      <c r="I79" s="6">
        <v>6.7136015676365464</v>
      </c>
      <c r="J79" s="4">
        <v>1147.1876930369574</v>
      </c>
      <c r="K79" s="5">
        <v>28.083439805878992</v>
      </c>
      <c r="L79" s="4">
        <v>566.91945984852998</v>
      </c>
      <c r="M79" s="5">
        <v>15.31742114746133</v>
      </c>
      <c r="N79" s="5">
        <v>73.481800675000002</v>
      </c>
      <c r="O79" s="5">
        <v>70.480025960000006</v>
      </c>
      <c r="P79" s="5">
        <v>15.394333353333337</v>
      </c>
      <c r="Q79" s="5">
        <v>15.777777799999997</v>
      </c>
    </row>
    <row r="80" spans="1:17">
      <c r="A80" s="2">
        <v>42552</v>
      </c>
      <c r="B80" s="3">
        <v>0.21158969516129028</v>
      </c>
      <c r="C80" s="3">
        <v>0.21158969516129028</v>
      </c>
      <c r="D80" s="3">
        <v>0.21158969516129028</v>
      </c>
      <c r="E80" s="3">
        <v>1.6979660796774192E-2</v>
      </c>
      <c r="F80" s="4">
        <v>609.73579200000006</v>
      </c>
      <c r="G80" s="5">
        <v>13.150785149999999</v>
      </c>
      <c r="H80" s="5">
        <v>55.565533506009622</v>
      </c>
      <c r="I80" s="6">
        <v>3.2743914321322753</v>
      </c>
      <c r="J80" s="4">
        <v>1075.8995374463709</v>
      </c>
      <c r="K80" s="5">
        <v>23.20500745989257</v>
      </c>
      <c r="L80" s="4">
        <v>471.91355669713215</v>
      </c>
      <c r="M80" s="5">
        <v>14.476765712872638</v>
      </c>
      <c r="N80" s="5">
        <v>49.6021353</v>
      </c>
      <c r="O80" s="5">
        <v>69.733762299999995</v>
      </c>
      <c r="P80" s="5">
        <v>17.779032258064522</v>
      </c>
      <c r="Q80" s="5">
        <v>18.013627935483871</v>
      </c>
    </row>
    <row r="81" spans="1:17">
      <c r="A81" s="2">
        <v>42583</v>
      </c>
      <c r="B81" s="3">
        <v>0.1683960165483871</v>
      </c>
      <c r="C81" s="3">
        <v>0.1683960165483871</v>
      </c>
      <c r="D81" s="3">
        <v>0.1683960165483871</v>
      </c>
      <c r="E81" s="3">
        <v>1.567574105483871E-2</v>
      </c>
      <c r="F81" s="4">
        <v>448.22796900000009</v>
      </c>
      <c r="G81" s="5">
        <v>10.402484070000002</v>
      </c>
      <c r="H81" s="5">
        <v>44.617489384149899</v>
      </c>
      <c r="I81" s="6">
        <v>3.1907842889833145</v>
      </c>
      <c r="J81" s="4">
        <v>993.78327408478731</v>
      </c>
      <c r="K81" s="5">
        <v>23.063743118998765</v>
      </c>
      <c r="L81" s="4">
        <v>386.24602236281191</v>
      </c>
      <c r="M81" s="5">
        <v>17.145509820789115</v>
      </c>
      <c r="N81" s="5">
        <v>76.499294116400009</v>
      </c>
      <c r="O81" s="5">
        <v>60.762046600000005</v>
      </c>
      <c r="P81" s="5">
        <v>15.770322516129035</v>
      </c>
      <c r="Q81" s="5">
        <v>15.675734774193549</v>
      </c>
    </row>
    <row r="82" spans="1:17">
      <c r="A82" s="2">
        <v>42614</v>
      </c>
      <c r="B82" s="3">
        <v>0.1409188226333333</v>
      </c>
      <c r="C82" s="3">
        <v>0.1409188226333333</v>
      </c>
      <c r="D82" s="3">
        <v>0.1409188226333333</v>
      </c>
      <c r="E82" s="3">
        <v>1.3304091740000003E-2</v>
      </c>
      <c r="F82" s="4">
        <v>363.78758269999997</v>
      </c>
      <c r="G82" s="5">
        <v>10.193404500000002</v>
      </c>
      <c r="H82" s="5">
        <v>38.240215029601885</v>
      </c>
      <c r="I82" s="6">
        <v>2.6191355568378762</v>
      </c>
      <c r="J82" s="4">
        <v>995.96447807296613</v>
      </c>
      <c r="K82" s="5">
        <v>27.907133598709553</v>
      </c>
      <c r="L82" s="4">
        <v>414.32414055803508</v>
      </c>
      <c r="M82" s="5">
        <v>21.660003610580912</v>
      </c>
      <c r="N82" s="5">
        <v>21.936529225999998</v>
      </c>
      <c r="O82" s="5">
        <v>37.016593739999998</v>
      </c>
      <c r="P82" s="5">
        <v>13.924000099999999</v>
      </c>
      <c r="Q82" s="5">
        <v>13.364039066666665</v>
      </c>
    </row>
    <row r="83" spans="1:17">
      <c r="A83" s="2">
        <v>42644</v>
      </c>
      <c r="B83" s="3">
        <v>8.2369221483870977E-2</v>
      </c>
      <c r="C83" s="3">
        <v>8.2369221483870977E-2</v>
      </c>
      <c r="D83" s="3">
        <v>8.2369221483870977E-2</v>
      </c>
      <c r="E83" s="3">
        <v>8.0321395322580629E-3</v>
      </c>
      <c r="F83" s="4">
        <v>225.19791510000002</v>
      </c>
      <c r="G83" s="6">
        <v>6.0061792700000005</v>
      </c>
      <c r="H83" s="5">
        <v>26.363746684873359</v>
      </c>
      <c r="I83" s="6">
        <v>1.8883102629713189</v>
      </c>
      <c r="J83" s="4">
        <v>1020.7606879716551</v>
      </c>
      <c r="K83" s="5">
        <v>27.224372282319358</v>
      </c>
      <c r="L83" s="4">
        <v>432.3693073699186</v>
      </c>
      <c r="M83" s="5">
        <v>23.962571164211802</v>
      </c>
      <c r="N83" s="5">
        <v>35.506064352999992</v>
      </c>
      <c r="O83" s="5">
        <v>21.938809380000006</v>
      </c>
      <c r="P83" s="5">
        <v>6.5819354903225813</v>
      </c>
      <c r="Q83" s="5">
        <v>6.1655470645161294</v>
      </c>
    </row>
    <row r="84" spans="1:17">
      <c r="A84" s="2">
        <v>42675</v>
      </c>
      <c r="B84" s="6">
        <v>2.4492428036666669</v>
      </c>
      <c r="C84" s="6">
        <v>2.4492428036666669</v>
      </c>
      <c r="D84" s="6">
        <v>2.4492428036666669</v>
      </c>
      <c r="E84" s="3">
        <v>0.30923689053333331</v>
      </c>
      <c r="F84" s="4">
        <v>8919.0609250000016</v>
      </c>
      <c r="G84" s="4">
        <v>798.71912120000002</v>
      </c>
      <c r="H84" s="4">
        <v>1308.0942617002343</v>
      </c>
      <c r="I84" s="5">
        <v>75.601897649865521</v>
      </c>
      <c r="J84" s="4">
        <v>1404.9222189138045</v>
      </c>
      <c r="K84" s="4">
        <v>125.81349797630446</v>
      </c>
      <c r="L84" s="4">
        <v>440.89577548644428</v>
      </c>
      <c r="M84" s="5">
        <v>13.702644717061757</v>
      </c>
      <c r="N84" s="4">
        <v>104.22380994999999</v>
      </c>
      <c r="O84" s="5">
        <v>26.211462175000005</v>
      </c>
      <c r="P84" s="5">
        <v>1.2683333356666666</v>
      </c>
      <c r="Q84" s="5">
        <v>1.4909405223153331</v>
      </c>
    </row>
    <row r="85" spans="1:17">
      <c r="A85" s="2">
        <v>42705</v>
      </c>
      <c r="B85" s="6">
        <v>1.9503952838709682</v>
      </c>
      <c r="C85" s="6">
        <v>1.9503952838709682</v>
      </c>
      <c r="D85" s="6">
        <v>1.9503952838709682</v>
      </c>
      <c r="E85" s="3">
        <v>0.17414027377419353</v>
      </c>
      <c r="F85" s="4">
        <v>9318.4706100000003</v>
      </c>
      <c r="G85" s="4">
        <v>445.17463580000003</v>
      </c>
      <c r="H85" s="4">
        <v>971.74523835332991</v>
      </c>
      <c r="I85" s="5">
        <v>48.362238228744886</v>
      </c>
      <c r="J85" s="4">
        <v>1783.8015772004917</v>
      </c>
      <c r="K85" s="5">
        <v>85.218192744701952</v>
      </c>
      <c r="L85" s="4">
        <v>1026.6910201374112</v>
      </c>
      <c r="M85" s="5">
        <v>22.47961925391105</v>
      </c>
      <c r="N85" s="5">
        <v>26.892442716000005</v>
      </c>
      <c r="O85" s="5">
        <v>10.868657798699999</v>
      </c>
      <c r="P85" s="5">
        <v>1.1029032316129033</v>
      </c>
      <c r="Q85" s="5">
        <v>0.84618727941935479</v>
      </c>
    </row>
    <row r="86" spans="1:17">
      <c r="A86" s="2">
        <v>42736</v>
      </c>
      <c r="B86" s="6">
        <v>2.0998769064516125</v>
      </c>
      <c r="C86" s="6">
        <v>2.0998769064516125</v>
      </c>
      <c r="D86" s="6">
        <v>2.0998769064516125</v>
      </c>
      <c r="E86" s="3">
        <v>0.19403937503225802</v>
      </c>
      <c r="F86" s="4">
        <v>11198.912832</v>
      </c>
      <c r="G86" s="4">
        <v>591.41564260000007</v>
      </c>
      <c r="H86" s="4">
        <v>1140.570168764518</v>
      </c>
      <c r="I86" s="5">
        <v>57.577521570664409</v>
      </c>
      <c r="J86" s="4">
        <v>1991.161864398659</v>
      </c>
      <c r="K86" s="4">
        <v>105.15344789859046</v>
      </c>
      <c r="L86" s="4">
        <v>1227.6389062359406</v>
      </c>
      <c r="M86" s="5">
        <v>25.205151537915395</v>
      </c>
      <c r="N86" s="5">
        <v>30.240471637599999</v>
      </c>
      <c r="O86" s="6">
        <v>8.1240330321999998</v>
      </c>
      <c r="P86" s="5">
        <v>-1.3274193542580643</v>
      </c>
      <c r="Q86" s="5">
        <v>0.22640859151540968</v>
      </c>
    </row>
    <row r="87" spans="1:17">
      <c r="A87" s="2">
        <v>42767</v>
      </c>
      <c r="B87" s="6">
        <v>1.4523747464285715</v>
      </c>
      <c r="C87" s="6">
        <v>1.4523747464285715</v>
      </c>
      <c r="D87" s="6">
        <v>1.4523747464285715</v>
      </c>
      <c r="E87" s="3">
        <v>0.12361490417857145</v>
      </c>
      <c r="F87" s="4">
        <v>5676.179540000001</v>
      </c>
      <c r="G87" s="4">
        <v>235.21829170000001</v>
      </c>
      <c r="H87" s="4">
        <v>614.71076715664128</v>
      </c>
      <c r="I87" s="5">
        <v>29.845674784834095</v>
      </c>
      <c r="J87" s="4">
        <v>1615.4950873550201</v>
      </c>
      <c r="K87" s="5">
        <v>66.945379521370242</v>
      </c>
      <c r="L87" s="4">
        <v>879.29299723540964</v>
      </c>
      <c r="M87" s="5">
        <v>17.585430934427325</v>
      </c>
      <c r="N87" s="5">
        <v>28.319386825999999</v>
      </c>
      <c r="O87" s="6">
        <v>7.6313545547999988</v>
      </c>
      <c r="P87" s="5">
        <v>-0.93035713968571421</v>
      </c>
      <c r="Q87" s="5">
        <v>3.1468408708928572E-2</v>
      </c>
    </row>
    <row r="88" spans="1:17">
      <c r="A88" s="2">
        <v>42795</v>
      </c>
      <c r="B88" s="6">
        <v>2.4977559032258068</v>
      </c>
      <c r="C88" s="6">
        <v>2.4977559032258068</v>
      </c>
      <c r="D88" s="6">
        <v>2.4977559032258068</v>
      </c>
      <c r="E88" s="3">
        <v>0.2203334527096775</v>
      </c>
      <c r="F88" s="4">
        <v>13561.723620000002</v>
      </c>
      <c r="G88" s="4">
        <v>988.15711920000012</v>
      </c>
      <c r="H88" s="4">
        <v>1277.4719741575805</v>
      </c>
      <c r="I88" s="5">
        <v>67.711013987081486</v>
      </c>
      <c r="J88" s="4">
        <v>2027.1665988747395</v>
      </c>
      <c r="K88" s="4">
        <v>147.70682495536769</v>
      </c>
      <c r="L88" s="4">
        <v>1252.4058192639814</v>
      </c>
      <c r="M88" s="5">
        <v>24.384723622425039</v>
      </c>
      <c r="N88" s="5">
        <v>31.698705370000003</v>
      </c>
      <c r="O88" s="5">
        <v>17.770383618</v>
      </c>
      <c r="P88" s="5">
        <v>2.4100000190322581</v>
      </c>
      <c r="Q88" s="5">
        <v>2.3151671167612897</v>
      </c>
    </row>
    <row r="89" spans="1:17">
      <c r="A89" s="2">
        <v>42826</v>
      </c>
      <c r="B89" s="3">
        <v>0.81635610766666666</v>
      </c>
      <c r="C89" s="3">
        <v>0.81635610766666666</v>
      </c>
      <c r="D89" s="3">
        <v>0.81635610766666666</v>
      </c>
      <c r="E89" s="3">
        <v>5.6226058333333322E-2</v>
      </c>
      <c r="F89" s="4">
        <v>2723.9642039999999</v>
      </c>
      <c r="G89" s="5">
        <v>67.448057399999996</v>
      </c>
      <c r="H89" s="4">
        <v>231.00765908649981</v>
      </c>
      <c r="I89" s="6">
        <v>9.3830078223199127</v>
      </c>
      <c r="J89" s="4">
        <v>1287.320652393822</v>
      </c>
      <c r="K89" s="5">
        <v>31.875336834405395</v>
      </c>
      <c r="L89" s="4">
        <v>616.93072000588745</v>
      </c>
      <c r="M89" s="5">
        <v>13.020359256321056</v>
      </c>
      <c r="N89" s="5">
        <v>24.847057900299998</v>
      </c>
      <c r="O89" s="5">
        <v>23.289973549999999</v>
      </c>
      <c r="P89" s="5">
        <v>4.1256666940000004</v>
      </c>
      <c r="Q89" s="5">
        <v>4.7192685263333338</v>
      </c>
    </row>
    <row r="90" spans="1:17">
      <c r="A90" s="2">
        <v>42856</v>
      </c>
      <c r="B90" s="3">
        <v>0.44764584387096784</v>
      </c>
      <c r="C90" s="3">
        <v>0.44764584387096784</v>
      </c>
      <c r="D90" s="3">
        <v>0.44764584387096784</v>
      </c>
      <c r="E90" s="3">
        <v>2.887935209677419E-2</v>
      </c>
      <c r="F90" s="4">
        <v>1429.4600249999999</v>
      </c>
      <c r="G90" s="5">
        <v>31.008626400000004</v>
      </c>
      <c r="H90" s="4">
        <v>111.70223401069636</v>
      </c>
      <c r="I90" s="6">
        <v>5.0922344023036317</v>
      </c>
      <c r="J90" s="4">
        <v>1192.2353549806996</v>
      </c>
      <c r="K90" s="5">
        <v>25.86261974591282</v>
      </c>
      <c r="L90" s="4">
        <v>561.04574698915462</v>
      </c>
      <c r="M90" s="5">
        <v>13.157744123925445</v>
      </c>
      <c r="N90" s="5">
        <v>21.157025968999999</v>
      </c>
      <c r="O90" s="5">
        <v>44.909881729999995</v>
      </c>
      <c r="P90" s="5">
        <v>10.149677416129032</v>
      </c>
      <c r="Q90" s="5">
        <v>10.589336025806452</v>
      </c>
    </row>
    <row r="91" spans="1:17">
      <c r="A91" s="2">
        <v>42887</v>
      </c>
      <c r="B91" s="3">
        <v>0.227005398</v>
      </c>
      <c r="C91" s="3">
        <v>0.227005398</v>
      </c>
      <c r="D91" s="3">
        <v>0.227005398</v>
      </c>
      <c r="E91" s="3">
        <v>1.5576821679999998E-2</v>
      </c>
      <c r="F91" s="4">
        <v>637.55424099999982</v>
      </c>
      <c r="G91" s="5">
        <v>11.848459000000002</v>
      </c>
      <c r="H91" s="5">
        <v>56.348696518330343</v>
      </c>
      <c r="I91" s="6">
        <v>2.8585571351744816</v>
      </c>
      <c r="J91" s="4">
        <v>1083.5424662238554</v>
      </c>
      <c r="K91" s="5">
        <v>20.136809974833714</v>
      </c>
      <c r="L91" s="4">
        <v>471.6100852699455</v>
      </c>
      <c r="M91" s="5">
        <v>12.497853450328881</v>
      </c>
      <c r="N91" s="5">
        <v>61.994983656999992</v>
      </c>
      <c r="O91" s="5">
        <v>71.449799900000002</v>
      </c>
      <c r="P91" s="5">
        <v>14.470000069999998</v>
      </c>
      <c r="Q91" s="5">
        <v>15.004157499999996</v>
      </c>
    </row>
    <row r="92" spans="1:17">
      <c r="A92" s="2">
        <v>42917</v>
      </c>
      <c r="B92" s="3">
        <v>8.1454090774193549E-2</v>
      </c>
      <c r="C92" s="3">
        <v>8.1454090774193549E-2</v>
      </c>
      <c r="D92" s="3">
        <v>8.1454090774193549E-2</v>
      </c>
      <c r="E92" s="3">
        <v>6.6874615870967727E-3</v>
      </c>
      <c r="F92" s="4">
        <v>230.18934899999999</v>
      </c>
      <c r="G92" s="6">
        <v>3.6815240780000003</v>
      </c>
      <c r="H92" s="5">
        <v>21.430954645576357</v>
      </c>
      <c r="I92" s="6">
        <v>1.3354800484300327</v>
      </c>
      <c r="J92" s="4">
        <v>1055.1078791360728</v>
      </c>
      <c r="K92" s="5">
        <v>16.874825564048457</v>
      </c>
      <c r="L92" s="4">
        <v>401.3852474165443</v>
      </c>
      <c r="M92" s="5">
        <v>11.783412258746337</v>
      </c>
      <c r="N92" s="5">
        <v>22.882865846999998</v>
      </c>
      <c r="O92" s="5">
        <v>50.303792599999987</v>
      </c>
      <c r="P92" s="5">
        <v>16.308386935483867</v>
      </c>
      <c r="Q92" s="5">
        <v>16.609145225806447</v>
      </c>
    </row>
    <row r="93" spans="1:17">
      <c r="A93" s="2">
        <v>42948</v>
      </c>
      <c r="B93" s="3">
        <v>5.6138008580645153E-2</v>
      </c>
      <c r="C93" s="3">
        <v>5.6138008580645153E-2</v>
      </c>
      <c r="D93" s="3">
        <v>5.6138008580645153E-2</v>
      </c>
      <c r="E93" s="3">
        <v>6.7102587451612905E-3</v>
      </c>
      <c r="F93" s="4">
        <v>152.64960853999997</v>
      </c>
      <c r="G93" s="6">
        <v>2.7615144960000002</v>
      </c>
      <c r="H93" s="5">
        <v>19.109034233143174</v>
      </c>
      <c r="I93" s="6">
        <v>1.5916035248790645</v>
      </c>
      <c r="J93" s="4">
        <v>1015.2271780930798</v>
      </c>
      <c r="K93" s="5">
        <v>18.366012050221038</v>
      </c>
      <c r="L93" s="4">
        <v>308.16944326454819</v>
      </c>
      <c r="M93" s="5">
        <v>15.246626508343176</v>
      </c>
      <c r="N93" s="5">
        <v>69.144482440999994</v>
      </c>
      <c r="O93" s="5">
        <v>53.772035299999992</v>
      </c>
      <c r="P93" s="5">
        <v>15.912258096774194</v>
      </c>
      <c r="Q93" s="5">
        <v>15.859023032258063</v>
      </c>
    </row>
    <row r="94" spans="1:17">
      <c r="A94" s="2">
        <v>42979</v>
      </c>
      <c r="B94" s="3">
        <v>0.2191501891666667</v>
      </c>
      <c r="C94" s="3">
        <v>0.2191501891666667</v>
      </c>
      <c r="D94" s="3">
        <v>0.2191501891666667</v>
      </c>
      <c r="E94" s="3">
        <v>2.7210246376666671E-2</v>
      </c>
      <c r="F94" s="4">
        <v>573.47472870000024</v>
      </c>
      <c r="G94" s="5">
        <v>16.820296045999999</v>
      </c>
      <c r="H94" s="5">
        <v>81.967181893536392</v>
      </c>
      <c r="I94" s="6">
        <v>5.1738390691512368</v>
      </c>
      <c r="J94" s="4">
        <v>1009.5722528563175</v>
      </c>
      <c r="K94" s="5">
        <v>29.61125140996781</v>
      </c>
      <c r="L94" s="4">
        <v>358.17136854202721</v>
      </c>
      <c r="M94" s="5">
        <v>22.611987963323042</v>
      </c>
      <c r="N94" s="5">
        <v>63.157635690799992</v>
      </c>
      <c r="O94" s="5">
        <v>50.460238220000008</v>
      </c>
      <c r="P94" s="5">
        <v>12.356999986666665</v>
      </c>
      <c r="Q94" s="5">
        <v>11.964443026666665</v>
      </c>
    </row>
    <row r="95" spans="1:17">
      <c r="A95" s="2">
        <v>43009</v>
      </c>
      <c r="B95" s="6">
        <v>2.8192328183870967</v>
      </c>
      <c r="C95" s="6">
        <v>2.8192328183870967</v>
      </c>
      <c r="D95" s="6">
        <v>2.8192328183870967</v>
      </c>
      <c r="E95" s="3">
        <v>0.3330320630967743</v>
      </c>
      <c r="F95" s="4">
        <v>11959.890423999999</v>
      </c>
      <c r="G95" s="4">
        <v>859.73251047999986</v>
      </c>
      <c r="H95" s="4">
        <v>1569.9906999873074</v>
      </c>
      <c r="I95" s="5">
        <v>93.155940503201691</v>
      </c>
      <c r="J95" s="4">
        <v>1583.8745819481576</v>
      </c>
      <c r="K95" s="4">
        <v>113.85626939606877</v>
      </c>
      <c r="L95" s="4">
        <v>583.76448298174637</v>
      </c>
      <c r="M95" s="5">
        <v>16.496844762466157</v>
      </c>
      <c r="N95" s="4">
        <v>130.23440848940004</v>
      </c>
      <c r="O95" s="5">
        <v>48.844747000000005</v>
      </c>
      <c r="P95" s="5">
        <v>7.1903225645161299</v>
      </c>
      <c r="Q95" s="5">
        <v>7.1596318129032266</v>
      </c>
    </row>
    <row r="96" spans="1:17">
      <c r="A96" s="2">
        <v>43040</v>
      </c>
      <c r="B96" s="6">
        <v>3.6579327066666663</v>
      </c>
      <c r="C96" s="6">
        <v>3.6579327066666663</v>
      </c>
      <c r="D96" s="6">
        <v>3.6579327066666663</v>
      </c>
      <c r="E96" s="3">
        <v>0.34990509633333328</v>
      </c>
      <c r="F96" s="4">
        <v>19354.375749999999</v>
      </c>
      <c r="G96" s="4">
        <v>1180.0849889000001</v>
      </c>
      <c r="H96" s="4">
        <v>1990.335008373356</v>
      </c>
      <c r="I96" s="4">
        <v>102.95838124374589</v>
      </c>
      <c r="J96" s="4">
        <v>2041.307570391768</v>
      </c>
      <c r="K96" s="4">
        <v>124.46365744381097</v>
      </c>
      <c r="L96" s="4">
        <v>1175.5267975524425</v>
      </c>
      <c r="M96" s="5">
        <v>25.794878276998634</v>
      </c>
      <c r="N96" s="5">
        <v>65.72403474299999</v>
      </c>
      <c r="O96" s="5">
        <v>22.174977454</v>
      </c>
      <c r="P96" s="5">
        <v>2.9186666589999999</v>
      </c>
      <c r="Q96" s="5">
        <v>2.6492683780000004</v>
      </c>
    </row>
    <row r="97" spans="1:17">
      <c r="A97" s="2">
        <v>43070</v>
      </c>
      <c r="B97" s="6">
        <v>5.3019539000000009</v>
      </c>
      <c r="C97" s="6">
        <v>5.3019539000000009</v>
      </c>
      <c r="D97" s="6">
        <v>5.3019539000000009</v>
      </c>
      <c r="E97" s="3">
        <v>0.48234163645161293</v>
      </c>
      <c r="F97" s="4">
        <v>29668.106290000003</v>
      </c>
      <c r="G97" s="4">
        <v>1718.0816270000003</v>
      </c>
      <c r="H97" s="4">
        <v>2861.4618539921566</v>
      </c>
      <c r="I97" s="4">
        <v>139.56633135822304</v>
      </c>
      <c r="J97" s="4">
        <v>2089.1923259104783</v>
      </c>
      <c r="K97" s="4">
        <v>120.98524078473002</v>
      </c>
      <c r="L97" s="4">
        <v>1216.901056000552</v>
      </c>
      <c r="M97" s="5">
        <v>25.263653462558867</v>
      </c>
      <c r="N97" s="5">
        <v>68.849204142999994</v>
      </c>
      <c r="O97" s="5">
        <v>17.094062303849999</v>
      </c>
      <c r="P97" s="5">
        <v>0.45677419819354831</v>
      </c>
      <c r="Q97" s="5">
        <v>0.59080710941935488</v>
      </c>
    </row>
    <row r="98" spans="1:17">
      <c r="A98" s="2">
        <v>43101</v>
      </c>
      <c r="B98" s="6">
        <v>4.6260738870967728</v>
      </c>
      <c r="C98" s="6">
        <v>4.6260738870967728</v>
      </c>
      <c r="D98" s="6">
        <v>4.6260738870967728</v>
      </c>
      <c r="E98" s="3">
        <v>0.38910911741935483</v>
      </c>
      <c r="F98" s="4">
        <v>23776.74427000001</v>
      </c>
      <c r="G98" s="4">
        <v>1298.1088640000003</v>
      </c>
      <c r="H98" s="4">
        <v>2213.8625773566246</v>
      </c>
      <c r="I98" s="4">
        <v>109.34414863800011</v>
      </c>
      <c r="J98" s="4">
        <v>1918.9531030823368</v>
      </c>
      <c r="K98" s="4">
        <v>104.76665861547846</v>
      </c>
      <c r="L98" s="4">
        <v>1091.8307015197558</v>
      </c>
      <c r="M98" s="5">
        <v>22.143673363559014</v>
      </c>
      <c r="N98" s="5">
        <v>65.083757234199993</v>
      </c>
      <c r="O98" s="5">
        <v>15.496182150400003</v>
      </c>
      <c r="P98" s="5">
        <v>-0.97903225741935473</v>
      </c>
      <c r="Q98" s="5">
        <v>0.29352744849161289</v>
      </c>
    </row>
    <row r="99" spans="1:17">
      <c r="A99" s="2">
        <v>43132</v>
      </c>
      <c r="B99" s="6">
        <v>3.344942446428572</v>
      </c>
      <c r="C99" s="6">
        <v>3.344942446428572</v>
      </c>
      <c r="D99" s="6">
        <v>3.344942446428572</v>
      </c>
      <c r="E99" s="3">
        <v>0.26162915485714289</v>
      </c>
      <c r="F99" s="4">
        <v>16060.60959</v>
      </c>
      <c r="G99" s="4">
        <v>864.80295690000014</v>
      </c>
      <c r="H99" s="4">
        <v>1429.2223285143352</v>
      </c>
      <c r="I99" s="5">
        <v>72.502790500044966</v>
      </c>
      <c r="J99" s="4">
        <v>1984.7306950640573</v>
      </c>
      <c r="K99" s="4">
        <v>106.8702264453562</v>
      </c>
      <c r="L99" s="4">
        <v>1220.4531838191588</v>
      </c>
      <c r="M99" s="5">
        <v>24.48024533057275</v>
      </c>
      <c r="N99" s="5">
        <v>33.661128529999999</v>
      </c>
      <c r="O99" s="6">
        <v>7.0574078419999999</v>
      </c>
      <c r="P99" s="5">
        <v>-4.3121428692857142</v>
      </c>
      <c r="Q99" s="5">
        <v>2.6883723519007141E-2</v>
      </c>
    </row>
    <row r="100" spans="1:17">
      <c r="A100" s="2">
        <v>43160</v>
      </c>
      <c r="B100" s="6">
        <v>2.6214237741935489</v>
      </c>
      <c r="C100" s="6">
        <v>2.6214237741935489</v>
      </c>
      <c r="D100" s="6">
        <v>2.6214237741935489</v>
      </c>
      <c r="E100" s="3">
        <v>0.23429908509677422</v>
      </c>
      <c r="F100" s="4">
        <v>15537.363249999999</v>
      </c>
      <c r="G100" s="4">
        <v>1014.7291449999999</v>
      </c>
      <c r="H100" s="4">
        <v>1526.2371254036514</v>
      </c>
      <c r="I100" s="5">
        <v>90.663905196809068</v>
      </c>
      <c r="J100" s="4">
        <v>2212.914470924833</v>
      </c>
      <c r="K100" s="4">
        <v>144.52315840778678</v>
      </c>
      <c r="L100" s="4">
        <v>1503.3308597691332</v>
      </c>
      <c r="M100" s="5">
        <v>29.680387679207705</v>
      </c>
      <c r="N100" s="5">
        <v>27.965411919000001</v>
      </c>
      <c r="O100" s="6">
        <v>7.0812749656999978</v>
      </c>
      <c r="P100" s="5">
        <v>-2.5461290344838701</v>
      </c>
      <c r="Q100" s="5">
        <v>3.8561720851612899E-2</v>
      </c>
    </row>
    <row r="101" spans="1:17">
      <c r="A101" s="2">
        <v>43191</v>
      </c>
      <c r="B101" s="6">
        <v>3.2378460333333332</v>
      </c>
      <c r="C101" s="6">
        <v>3.2378460333333332</v>
      </c>
      <c r="D101" s="6">
        <v>3.2378460333333332</v>
      </c>
      <c r="E101" s="3">
        <v>0.25981458343333336</v>
      </c>
      <c r="F101" s="4">
        <v>13651.115590000005</v>
      </c>
      <c r="G101" s="4">
        <v>665.48549070000001</v>
      </c>
      <c r="H101" s="4">
        <v>989.13315932742205</v>
      </c>
      <c r="I101" s="5">
        <v>38.625854569821215</v>
      </c>
      <c r="J101" s="4">
        <v>1626.5856440255473</v>
      </c>
      <c r="K101" s="5">
        <v>79.29528974380753</v>
      </c>
      <c r="L101" s="4">
        <v>917.98598909513385</v>
      </c>
      <c r="M101" s="5">
        <v>17.824644644716248</v>
      </c>
      <c r="N101" s="5">
        <v>29.762009199999998</v>
      </c>
      <c r="O101" s="5">
        <v>31.624599842000002</v>
      </c>
      <c r="P101" s="5">
        <v>5.9313333199999994</v>
      </c>
      <c r="Q101" s="5">
        <v>5.2241101267333345</v>
      </c>
    </row>
    <row r="102" spans="1:17">
      <c r="A102" s="2">
        <v>43221</v>
      </c>
      <c r="B102" s="3">
        <v>0.5642408993548389</v>
      </c>
      <c r="C102" s="3">
        <v>0.5642408993548389</v>
      </c>
      <c r="D102" s="3">
        <v>0.5642408993548389</v>
      </c>
      <c r="E102" s="3">
        <v>2.5077287645161289E-2</v>
      </c>
      <c r="F102" s="4">
        <v>1754.4468849999998</v>
      </c>
      <c r="G102" s="5">
        <v>37.229210099999996</v>
      </c>
      <c r="H102" s="5">
        <v>99.015504924439725</v>
      </c>
      <c r="I102" s="6">
        <v>4.1697024498922168</v>
      </c>
      <c r="J102" s="4">
        <v>1160.9144437858586</v>
      </c>
      <c r="K102" s="5">
        <v>24.634503110292879</v>
      </c>
      <c r="L102" s="4">
        <v>452.64056184147171</v>
      </c>
      <c r="M102" s="6">
        <v>9.145853309593198</v>
      </c>
      <c r="N102" s="6">
        <v>7.0754250000000001</v>
      </c>
      <c r="O102" s="5">
        <v>52.824145699999995</v>
      </c>
      <c r="P102" s="5">
        <v>14.82677423870968</v>
      </c>
      <c r="Q102" s="5">
        <v>14.926181319354836</v>
      </c>
    </row>
    <row r="103" spans="1:17">
      <c r="A103" s="2">
        <v>43252</v>
      </c>
      <c r="B103" s="3">
        <v>0.22982570733333335</v>
      </c>
      <c r="C103" s="3">
        <v>0.22982570733333335</v>
      </c>
      <c r="D103" s="3">
        <v>0.22982570733333335</v>
      </c>
      <c r="E103" s="3">
        <v>1.5718219346666666E-2</v>
      </c>
      <c r="F103" s="4">
        <v>685.86658899999998</v>
      </c>
      <c r="G103" s="6">
        <v>9.6798567400000017</v>
      </c>
      <c r="H103" s="5">
        <v>53.008452999364408</v>
      </c>
      <c r="I103" s="6">
        <v>2.9337556137804999</v>
      </c>
      <c r="J103" s="4">
        <v>1151.346420318665</v>
      </c>
      <c r="K103" s="5">
        <v>16.24932410165038</v>
      </c>
      <c r="L103" s="4">
        <v>360.69099347273294</v>
      </c>
      <c r="M103" s="6">
        <v>7.337979619383808</v>
      </c>
      <c r="N103" s="5">
        <v>41.166106639999995</v>
      </c>
      <c r="O103" s="5">
        <v>46.976595759999995</v>
      </c>
      <c r="P103" s="5">
        <v>16.150666533333332</v>
      </c>
      <c r="Q103" s="5">
        <v>16.489406033333335</v>
      </c>
    </row>
    <row r="104" spans="1:17">
      <c r="A104" s="2">
        <v>43282</v>
      </c>
      <c r="B104" s="3">
        <v>0.13380909061290325</v>
      </c>
      <c r="C104" s="3">
        <v>0.13380909061290325</v>
      </c>
      <c r="D104" s="3">
        <v>0.13380909061290325</v>
      </c>
      <c r="E104" s="3">
        <v>1.1372118712903228E-2</v>
      </c>
      <c r="F104" s="4">
        <v>408.89212710000004</v>
      </c>
      <c r="G104" s="6">
        <v>6.8605647769999987</v>
      </c>
      <c r="H104" s="5">
        <v>33.972440576423338</v>
      </c>
      <c r="I104" s="6">
        <v>2.3844430235443879</v>
      </c>
      <c r="J104" s="4">
        <v>1140.9002763950018</v>
      </c>
      <c r="K104" s="5">
        <v>19.142506117450488</v>
      </c>
      <c r="L104" s="4">
        <v>332.74682138055812</v>
      </c>
      <c r="M104" s="5">
        <v>12.859015918912956</v>
      </c>
      <c r="N104" s="5">
        <v>34.767668478000004</v>
      </c>
      <c r="O104" s="5">
        <v>45.90601199999999</v>
      </c>
      <c r="P104" s="5">
        <v>21.102903096774195</v>
      </c>
      <c r="Q104" s="5">
        <v>20.904516580645158</v>
      </c>
    </row>
    <row r="105" spans="1:17">
      <c r="A105" s="2">
        <v>43313</v>
      </c>
      <c r="B105" s="3">
        <v>0.1212199916451613</v>
      </c>
      <c r="C105" s="3">
        <v>0.1212199916451613</v>
      </c>
      <c r="D105" s="3">
        <v>0.1212199916451613</v>
      </c>
      <c r="E105" s="3">
        <v>8.4115427774193556E-3</v>
      </c>
      <c r="F105" s="4">
        <v>329.28055299999994</v>
      </c>
      <c r="G105" s="6">
        <v>7.7543320399999986</v>
      </c>
      <c r="H105" s="5">
        <v>19.605979759538286</v>
      </c>
      <c r="I105" s="6">
        <v>1.7800725267717119</v>
      </c>
      <c r="J105" s="4">
        <v>1014.1831229493338</v>
      </c>
      <c r="K105" s="5">
        <v>23.88331990643049</v>
      </c>
      <c r="L105" s="4">
        <v>263.12586901663974</v>
      </c>
      <c r="M105" s="5">
        <v>18.240632388582942</v>
      </c>
      <c r="N105" s="5">
        <v>66.589834655700017</v>
      </c>
      <c r="O105" s="5">
        <v>61.187787599999993</v>
      </c>
      <c r="P105" s="5">
        <v>18.190967709677423</v>
      </c>
      <c r="Q105" s="5">
        <v>17.922494387096773</v>
      </c>
    </row>
    <row r="106" spans="1:17">
      <c r="A106" s="2">
        <v>43344</v>
      </c>
      <c r="B106" s="3">
        <v>8.210090343333333E-2</v>
      </c>
      <c r="C106" s="3">
        <v>8.210090343333333E-2</v>
      </c>
      <c r="D106" s="3">
        <v>8.210090343333333E-2</v>
      </c>
      <c r="E106" s="3">
        <v>7.9560647866666664E-3</v>
      </c>
      <c r="F106" s="4">
        <v>194.72702020000003</v>
      </c>
      <c r="G106" s="6">
        <v>5.6909435340000005</v>
      </c>
      <c r="H106" s="5">
        <v>18.222676639940289</v>
      </c>
      <c r="I106" s="6">
        <v>1.8590901775888697</v>
      </c>
      <c r="J106" s="4">
        <v>915.0466994964022</v>
      </c>
      <c r="K106" s="5">
        <v>26.742458071459794</v>
      </c>
      <c r="L106" s="4">
        <v>255.14655621455199</v>
      </c>
      <c r="M106" s="5">
        <v>23.423094330717152</v>
      </c>
      <c r="N106" s="5">
        <v>54.568858894300007</v>
      </c>
      <c r="O106" s="5">
        <v>41.601758029999999</v>
      </c>
      <c r="P106" s="5">
        <v>13.269333266666665</v>
      </c>
      <c r="Q106" s="5">
        <v>12.835395680000003</v>
      </c>
    </row>
    <row r="107" spans="1:17">
      <c r="A107" s="2">
        <v>43374</v>
      </c>
      <c r="B107" s="3">
        <v>6.8876935064516143E-2</v>
      </c>
      <c r="C107" s="3">
        <v>6.8876935064516143E-2</v>
      </c>
      <c r="D107" s="3">
        <v>6.8876935064516143E-2</v>
      </c>
      <c r="E107" s="3">
        <v>7.1358205032258058E-3</v>
      </c>
      <c r="F107" s="4">
        <v>173.98065079999998</v>
      </c>
      <c r="G107" s="6">
        <v>5.7587799360000007</v>
      </c>
      <c r="H107" s="5">
        <v>19.95697337334061</v>
      </c>
      <c r="I107" s="6">
        <v>1.7886030007739049</v>
      </c>
      <c r="J107" s="4">
        <v>943.08682077521428</v>
      </c>
      <c r="K107" s="5">
        <v>31.216284884969589</v>
      </c>
      <c r="L107" s="4">
        <v>359.68506225983504</v>
      </c>
      <c r="M107" s="5">
        <v>28.3217966228055</v>
      </c>
      <c r="N107" s="5">
        <v>30.668244356000002</v>
      </c>
      <c r="O107" s="5">
        <v>24.625059960000002</v>
      </c>
      <c r="P107" s="5">
        <v>7.6674193548387102</v>
      </c>
      <c r="Q107" s="5">
        <v>6.9480886999999987</v>
      </c>
    </row>
    <row r="108" spans="1:17">
      <c r="A108" s="2">
        <v>43405</v>
      </c>
      <c r="B108" s="3">
        <v>8.6960460266666664E-2</v>
      </c>
      <c r="C108" s="3">
        <v>8.6960460266666664E-2</v>
      </c>
      <c r="D108" s="3">
        <v>8.6960460266666664E-2</v>
      </c>
      <c r="E108" s="3">
        <v>9.2400678866666665E-3</v>
      </c>
      <c r="F108" s="4">
        <v>236.48192269999998</v>
      </c>
      <c r="G108" s="6">
        <v>7.8894045900000007</v>
      </c>
      <c r="H108" s="5">
        <v>28.661808922394304</v>
      </c>
      <c r="I108" s="6">
        <v>2.1878680498627325</v>
      </c>
      <c r="J108" s="4">
        <v>1049.1584588485034</v>
      </c>
      <c r="K108" s="5">
        <v>35.001557939106284</v>
      </c>
      <c r="L108" s="4">
        <v>506.88861103101732</v>
      </c>
      <c r="M108" s="5">
        <v>32.106061453496601</v>
      </c>
      <c r="N108" s="5">
        <v>31.388754710000001</v>
      </c>
      <c r="O108" s="5">
        <v>16.865959890099997</v>
      </c>
      <c r="P108" s="5">
        <v>3.6936666296999987</v>
      </c>
      <c r="Q108" s="5">
        <v>3.743108580883967</v>
      </c>
    </row>
    <row r="109" spans="1:17">
      <c r="A109" s="2">
        <v>43435</v>
      </c>
      <c r="B109" s="3">
        <v>0.89480927548387101</v>
      </c>
      <c r="C109" s="3">
        <v>0.89480927548387101</v>
      </c>
      <c r="D109" s="3">
        <v>0.89480927548387101</v>
      </c>
      <c r="E109" s="3">
        <v>0.112079967</v>
      </c>
      <c r="F109" s="4">
        <v>2957.6150399999992</v>
      </c>
      <c r="G109" s="5">
        <v>68.419813309999995</v>
      </c>
      <c r="H109" s="4">
        <v>394.42804297301092</v>
      </c>
      <c r="I109" s="5">
        <v>13.532518284650546</v>
      </c>
      <c r="J109" s="4">
        <v>1234.0584059055338</v>
      </c>
      <c r="K109" s="5">
        <v>28.548017035012379</v>
      </c>
      <c r="L109" s="4">
        <v>448.29357488763134</v>
      </c>
      <c r="M109" s="5">
        <v>16.725471691363673</v>
      </c>
      <c r="N109" s="5">
        <v>51.837167294000004</v>
      </c>
      <c r="O109" s="5">
        <v>13.253110045699998</v>
      </c>
      <c r="P109" s="5">
        <v>-4.5483862838709553E-2</v>
      </c>
      <c r="Q109" s="5">
        <v>0.35157240608363877</v>
      </c>
    </row>
    <row r="110" spans="1:17">
      <c r="A110" s="2">
        <v>43466</v>
      </c>
      <c r="B110" s="3">
        <v>0.99094489870967739</v>
      </c>
      <c r="C110" s="3">
        <v>0.99094489870967739</v>
      </c>
      <c r="D110" s="3">
        <v>0.99094489870967739</v>
      </c>
      <c r="E110" s="3">
        <v>0.10394349845161292</v>
      </c>
      <c r="F110" s="4">
        <v>3179.8469880000002</v>
      </c>
      <c r="G110" s="5">
        <v>62.695468119999987</v>
      </c>
      <c r="H110" s="4">
        <v>364.8508479505395</v>
      </c>
      <c r="I110" s="5">
        <v>12.385667436065189</v>
      </c>
      <c r="J110" s="4">
        <v>1198.0674148179314</v>
      </c>
      <c r="K110" s="5">
        <v>23.621701840312294</v>
      </c>
      <c r="L110" s="4">
        <v>409.46043870185855</v>
      </c>
      <c r="M110" s="5">
        <v>10.048176268270476</v>
      </c>
      <c r="N110" s="5">
        <v>46.125029815900007</v>
      </c>
      <c r="O110" s="5">
        <v>10.155680072799999</v>
      </c>
      <c r="P110" s="5">
        <v>-3.0629032619354843</v>
      </c>
      <c r="Q110" s="5">
        <v>2.6223508806451613E-2</v>
      </c>
    </row>
    <row r="111" spans="1:17">
      <c r="A111" s="2">
        <v>43497</v>
      </c>
      <c r="B111" s="6">
        <v>4.966091053214285</v>
      </c>
      <c r="C111" s="6">
        <v>4.966091053214285</v>
      </c>
      <c r="D111" s="6">
        <v>4.966091053214285</v>
      </c>
      <c r="E111" s="3">
        <v>0.51386731374999994</v>
      </c>
      <c r="F111" s="4">
        <v>26033.777496000002</v>
      </c>
      <c r="G111" s="4">
        <v>1818.9836524399998</v>
      </c>
      <c r="H111" s="4">
        <v>2826.7486892054435</v>
      </c>
      <c r="I111" s="4">
        <v>156.99867730526341</v>
      </c>
      <c r="J111" s="4">
        <v>2166.9591166679211</v>
      </c>
      <c r="K111" s="4">
        <v>151.40573293945741</v>
      </c>
      <c r="L111" s="4">
        <v>1323.5486625880023</v>
      </c>
      <c r="M111" s="5">
        <v>26.898914107316472</v>
      </c>
      <c r="N111" s="5">
        <v>50.603753080000004</v>
      </c>
      <c r="O111" s="5">
        <v>16.904478688000001</v>
      </c>
      <c r="P111" s="5">
        <v>0.88464284535714299</v>
      </c>
      <c r="Q111" s="5">
        <v>0.83786023938285703</v>
      </c>
    </row>
    <row r="112" spans="1:17">
      <c r="A112" s="2">
        <v>43525</v>
      </c>
      <c r="B112" s="6">
        <v>4.3293196645161292</v>
      </c>
      <c r="C112" s="6">
        <v>4.3293196645161292</v>
      </c>
      <c r="D112" s="6">
        <v>4.3293196645161292</v>
      </c>
      <c r="E112" s="3">
        <v>0.38024136090322586</v>
      </c>
      <c r="F112" s="4">
        <v>22456.684430000001</v>
      </c>
      <c r="G112" s="4">
        <v>1233.3257442000001</v>
      </c>
      <c r="H112" s="4">
        <v>2174.9033936729379</v>
      </c>
      <c r="I112" s="4">
        <v>105.46322035844538</v>
      </c>
      <c r="J112" s="4">
        <v>1936.6472376356028</v>
      </c>
      <c r="K112" s="4">
        <v>106.36106584625732</v>
      </c>
      <c r="L112" s="4">
        <v>1138.482533029121</v>
      </c>
      <c r="M112" s="5">
        <v>22.895422676904275</v>
      </c>
      <c r="N112" s="5">
        <v>59.542908539800003</v>
      </c>
      <c r="O112" s="5">
        <v>22.918376464630004</v>
      </c>
      <c r="P112" s="5">
        <v>1.8841935651677417</v>
      </c>
      <c r="Q112" s="5">
        <v>1.8813973799354837</v>
      </c>
    </row>
    <row r="113" spans="1:17">
      <c r="A113" s="2">
        <v>43556</v>
      </c>
      <c r="B113" s="3">
        <v>0.9691672796666666</v>
      </c>
      <c r="C113" s="3">
        <v>0.9691672796666666</v>
      </c>
      <c r="D113" s="3">
        <v>0.9691672796666666</v>
      </c>
      <c r="E113" s="3">
        <v>4.1183310700000003E-2</v>
      </c>
      <c r="F113" s="4">
        <v>3165.0201419999994</v>
      </c>
      <c r="G113" s="5">
        <v>78.600990289999999</v>
      </c>
      <c r="H113" s="4">
        <v>182.99301080827831</v>
      </c>
      <c r="I113" s="6">
        <v>6.4166421236931699</v>
      </c>
      <c r="J113" s="4">
        <v>1259.919260043848</v>
      </c>
      <c r="K113" s="5">
        <v>31.289185389054836</v>
      </c>
      <c r="L113" s="4">
        <v>537.74304110350135</v>
      </c>
      <c r="M113" s="5">
        <v>12.417547462127237</v>
      </c>
      <c r="N113" s="6">
        <v>5.0470482562000001</v>
      </c>
      <c r="O113" s="5">
        <v>26.197787777999999</v>
      </c>
      <c r="P113" s="5">
        <v>6.5026666370000008</v>
      </c>
      <c r="Q113" s="5">
        <v>6.9512942033333323</v>
      </c>
    </row>
    <row r="114" spans="1:17">
      <c r="A114" s="2">
        <v>43586</v>
      </c>
      <c r="B114" s="3">
        <v>0.39982485903225812</v>
      </c>
      <c r="C114" s="3">
        <v>0.39982485903225812</v>
      </c>
      <c r="D114" s="3">
        <v>0.39982485903225812</v>
      </c>
      <c r="E114" s="3">
        <v>1.9791864193548385E-2</v>
      </c>
      <c r="F114" s="4">
        <v>1221.392321</v>
      </c>
      <c r="G114" s="5">
        <v>22.176575689999996</v>
      </c>
      <c r="H114" s="5">
        <v>84.445616927321211</v>
      </c>
      <c r="I114" s="6">
        <v>3.5563733759279255</v>
      </c>
      <c r="J114" s="4">
        <v>1140.5384663828202</v>
      </c>
      <c r="K114" s="5">
        <v>20.708528500125329</v>
      </c>
      <c r="L114" s="4">
        <v>465.7108742834842</v>
      </c>
      <c r="M114" s="5">
        <v>11.757351900422664</v>
      </c>
      <c r="N114" s="5">
        <v>60.028541170000011</v>
      </c>
      <c r="O114" s="5">
        <v>56.396486420000002</v>
      </c>
      <c r="P114" s="5">
        <v>10.099354816129033</v>
      </c>
      <c r="Q114" s="5">
        <v>10.735050548387095</v>
      </c>
    </row>
    <row r="115" spans="1:17">
      <c r="A115" s="2">
        <v>43617</v>
      </c>
      <c r="B115" s="3">
        <v>0.16328964530000001</v>
      </c>
      <c r="C115" s="3">
        <v>0.16328964530000001</v>
      </c>
      <c r="D115" s="3">
        <v>0.16328964530000001</v>
      </c>
      <c r="E115" s="3">
        <v>9.2530531699999991E-3</v>
      </c>
      <c r="F115" s="4">
        <v>475.84928759999997</v>
      </c>
      <c r="G115" s="6">
        <v>7.3763604410000001</v>
      </c>
      <c r="H115" s="5">
        <v>32.760922510603983</v>
      </c>
      <c r="I115" s="6">
        <v>1.6316227904853866</v>
      </c>
      <c r="J115" s="4">
        <v>1124.2832898548775</v>
      </c>
      <c r="K115" s="5">
        <v>17.428036651172356</v>
      </c>
      <c r="L115" s="4">
        <v>426.04571839018672</v>
      </c>
      <c r="M115" s="5">
        <v>11.364090668729462</v>
      </c>
      <c r="N115" s="5">
        <v>35.061237151000007</v>
      </c>
      <c r="O115" s="5">
        <v>65.268603999999982</v>
      </c>
      <c r="P115" s="5">
        <v>17.218666800000001</v>
      </c>
      <c r="Q115" s="5">
        <v>17.438898733333335</v>
      </c>
    </row>
    <row r="116" spans="1:17">
      <c r="A116" s="2">
        <v>43647</v>
      </c>
      <c r="B116" s="3">
        <v>0.24457067964516127</v>
      </c>
      <c r="C116" s="3">
        <v>0.24457067964516127</v>
      </c>
      <c r="D116" s="3">
        <v>0.24457067964516127</v>
      </c>
      <c r="E116" s="3">
        <v>2.1415618280645164E-2</v>
      </c>
      <c r="F116" s="4">
        <v>730.57016529999987</v>
      </c>
      <c r="G116" s="5">
        <v>14.65441064</v>
      </c>
      <c r="H116" s="5">
        <v>68.171676233374512</v>
      </c>
      <c r="I116" s="6">
        <v>4.2689181768101321</v>
      </c>
      <c r="J116" s="4">
        <v>1115.2753406247548</v>
      </c>
      <c r="K116" s="5">
        <v>22.371160682688437</v>
      </c>
      <c r="L116" s="4">
        <v>404.94757790906584</v>
      </c>
      <c r="M116" s="5">
        <v>15.105178619764942</v>
      </c>
      <c r="N116" s="5">
        <v>74.116167214000001</v>
      </c>
      <c r="O116" s="5">
        <v>72.508189000000002</v>
      </c>
      <c r="P116" s="5">
        <v>16.454838806451615</v>
      </c>
      <c r="Q116" s="5">
        <v>16.71375012903226</v>
      </c>
    </row>
    <row r="117" spans="1:17">
      <c r="A117" s="2">
        <v>43678</v>
      </c>
      <c r="B117" s="3">
        <v>0.27700869483870966</v>
      </c>
      <c r="C117" s="3">
        <v>0.27700869483870966</v>
      </c>
      <c r="D117" s="3">
        <v>0.27700869483870966</v>
      </c>
      <c r="E117" s="3">
        <v>3.0728745193548391E-2</v>
      </c>
      <c r="F117" s="4">
        <v>792.35514999999987</v>
      </c>
      <c r="G117" s="5">
        <v>21.203396470000001</v>
      </c>
      <c r="H117" s="4">
        <v>102.17368445940285</v>
      </c>
      <c r="I117" s="6">
        <v>6.0826466713242819</v>
      </c>
      <c r="J117" s="4">
        <v>1067.9502651217358</v>
      </c>
      <c r="K117" s="5">
        <v>28.578312340451404</v>
      </c>
      <c r="L117" s="4">
        <v>416.27842571677775</v>
      </c>
      <c r="M117" s="5">
        <v>19.348801067187075</v>
      </c>
      <c r="N117" s="5">
        <v>80.247862237000007</v>
      </c>
      <c r="O117" s="5">
        <v>70.906563299999988</v>
      </c>
      <c r="P117" s="5">
        <v>16.905806580645159</v>
      </c>
      <c r="Q117" s="5">
        <v>16.668431903225805</v>
      </c>
    </row>
    <row r="118" spans="1:17">
      <c r="A118" s="2">
        <v>43709</v>
      </c>
      <c r="B118" s="3">
        <v>0.18790475866666664</v>
      </c>
      <c r="C118" s="3">
        <v>0.18790475866666664</v>
      </c>
      <c r="D118" s="3">
        <v>0.18790475866666664</v>
      </c>
      <c r="E118" s="3">
        <v>2.039385903333334E-2</v>
      </c>
      <c r="F118" s="4">
        <v>527.02307200000007</v>
      </c>
      <c r="G118" s="5">
        <v>12.523047209999998</v>
      </c>
      <c r="H118" s="5">
        <v>70.729402246791807</v>
      </c>
      <c r="I118" s="6">
        <v>3.7974642805954479</v>
      </c>
      <c r="J118" s="4">
        <v>1082.0736835013111</v>
      </c>
      <c r="K118" s="5">
        <v>25.712080504909256</v>
      </c>
      <c r="L118" s="4">
        <v>384.73934813138334</v>
      </c>
      <c r="M118" s="5">
        <v>19.005792138398967</v>
      </c>
      <c r="N118" s="5">
        <v>56.411434329999999</v>
      </c>
      <c r="O118" s="5">
        <v>45.740330009999994</v>
      </c>
      <c r="P118" s="5">
        <v>11.994666603333332</v>
      </c>
      <c r="Q118" s="5">
        <v>11.68495622</v>
      </c>
    </row>
    <row r="119" spans="1:17">
      <c r="A119" s="2">
        <v>43739</v>
      </c>
      <c r="B119" s="3">
        <v>0.95093074129032262</v>
      </c>
      <c r="C119" s="3">
        <v>0.95093074129032262</v>
      </c>
      <c r="D119" s="3">
        <v>0.95093074129032262</v>
      </c>
      <c r="E119" s="3">
        <v>0.10815439332258062</v>
      </c>
      <c r="F119" s="4">
        <v>3015.118367</v>
      </c>
      <c r="G119" s="5">
        <v>67.806117139999984</v>
      </c>
      <c r="H119" s="4">
        <v>391.13146200387808</v>
      </c>
      <c r="I119" s="5">
        <v>13.767927188214321</v>
      </c>
      <c r="J119" s="4">
        <v>1183.8045976975068</v>
      </c>
      <c r="K119" s="5">
        <v>26.622236823128329</v>
      </c>
      <c r="L119" s="4">
        <v>260.37606568085238</v>
      </c>
      <c r="M119" s="5">
        <v>12.876431899787402</v>
      </c>
      <c r="N119" s="5">
        <v>76.799108599999983</v>
      </c>
      <c r="O119" s="5">
        <v>34.906174220000004</v>
      </c>
      <c r="P119" s="5">
        <v>6.4135483870967729</v>
      </c>
      <c r="Q119" s="5">
        <v>6.0944361935483871</v>
      </c>
    </row>
    <row r="120" spans="1:17">
      <c r="A120" s="2">
        <v>43770</v>
      </c>
      <c r="B120" s="6">
        <v>3.0859883290000001</v>
      </c>
      <c r="C120" s="6">
        <v>3.0859883290000001</v>
      </c>
      <c r="D120" s="6">
        <v>3.0859883290000001</v>
      </c>
      <c r="E120" s="3">
        <v>0.32844361663333327</v>
      </c>
      <c r="F120" s="4">
        <v>15044.864362</v>
      </c>
      <c r="G120" s="4">
        <v>1155.1787907500002</v>
      </c>
      <c r="H120" s="4">
        <v>1710.6026776616445</v>
      </c>
      <c r="I120" s="4">
        <v>107.26088561438891</v>
      </c>
      <c r="J120" s="4">
        <v>1880.8708562151687</v>
      </c>
      <c r="K120" s="4">
        <v>144.4175274056839</v>
      </c>
      <c r="L120" s="4">
        <v>965.28463934284878</v>
      </c>
      <c r="M120" s="5">
        <v>22.202418906325686</v>
      </c>
      <c r="N120" s="5">
        <v>83.097948185999996</v>
      </c>
      <c r="O120" s="5">
        <v>26.271278428999999</v>
      </c>
      <c r="P120" s="5">
        <v>3.2360000400000009</v>
      </c>
      <c r="Q120" s="5">
        <v>2.8539964283333337</v>
      </c>
    </row>
    <row r="121" spans="1:17">
      <c r="A121" s="2">
        <v>43800</v>
      </c>
      <c r="B121" s="6">
        <v>7.9800106129032251</v>
      </c>
      <c r="C121" s="6">
        <v>7.9800106129032251</v>
      </c>
      <c r="D121" s="6">
        <v>7.9800106129032251</v>
      </c>
      <c r="E121" s="3">
        <v>0.73675906000000024</v>
      </c>
      <c r="F121" s="4">
        <v>44774.589449999999</v>
      </c>
      <c r="G121" s="4">
        <v>2586.5890239999999</v>
      </c>
      <c r="H121" s="4">
        <v>4361.0254368558408</v>
      </c>
      <c r="I121" s="4">
        <v>204.98445478123185</v>
      </c>
      <c r="J121" s="4">
        <v>2094.8488183916979</v>
      </c>
      <c r="K121" s="4">
        <v>121.01759079152809</v>
      </c>
      <c r="L121" s="4">
        <v>1205.8940587115214</v>
      </c>
      <c r="M121" s="5">
        <v>25.027178288809797</v>
      </c>
      <c r="N121" s="5">
        <v>94.788165226000018</v>
      </c>
      <c r="O121" s="5">
        <v>26.388849318999995</v>
      </c>
      <c r="P121" s="5">
        <v>1.8741935323870962</v>
      </c>
      <c r="Q121" s="5">
        <v>1.7079128893548383</v>
      </c>
    </row>
    <row r="122" spans="1:17">
      <c r="A122" s="2">
        <v>43831</v>
      </c>
      <c r="B122" s="6">
        <v>1.8184443096774185</v>
      </c>
      <c r="C122" s="6">
        <v>1.8184443096774185</v>
      </c>
      <c r="D122" s="6">
        <v>1.8184443096774185</v>
      </c>
      <c r="E122" s="3">
        <v>0.10195884467741934</v>
      </c>
      <c r="F122" s="4">
        <v>6533.6034799999998</v>
      </c>
      <c r="G122" s="4">
        <v>191.36248449999999</v>
      </c>
      <c r="H122" s="4">
        <v>456.09935172395046</v>
      </c>
      <c r="I122" s="5">
        <v>17.295070920408261</v>
      </c>
      <c r="J122" s="4">
        <v>1341.4586993215285</v>
      </c>
      <c r="K122" s="5">
        <v>39.289937551216404</v>
      </c>
      <c r="L122" s="4">
        <v>536.49827087316623</v>
      </c>
      <c r="M122" s="5">
        <v>12.652367717179393</v>
      </c>
      <c r="N122" s="5">
        <v>21.711602133000003</v>
      </c>
      <c r="O122" s="5">
        <v>14.328949011000001</v>
      </c>
      <c r="P122" s="5">
        <v>3.1551612806451605</v>
      </c>
      <c r="Q122" s="5">
        <v>2.4557607332258065</v>
      </c>
    </row>
    <row r="123" spans="1:17">
      <c r="A123" s="2">
        <v>43862</v>
      </c>
      <c r="B123" s="6">
        <v>1.6856389448275857</v>
      </c>
      <c r="C123" s="6">
        <v>1.6856389448275857</v>
      </c>
      <c r="D123" s="6">
        <v>1.6856389448275857</v>
      </c>
      <c r="E123" s="3">
        <v>0.1383909984137931</v>
      </c>
      <c r="F123" s="4">
        <v>6993.8762699999997</v>
      </c>
      <c r="G123" s="4">
        <v>242.36962650000004</v>
      </c>
      <c r="H123" s="4">
        <v>654.84365337718918</v>
      </c>
      <c r="I123" s="5">
        <v>31.453347171823498</v>
      </c>
      <c r="J123" s="4">
        <v>1655.9286688179375</v>
      </c>
      <c r="K123" s="5">
        <v>57.385460713690172</v>
      </c>
      <c r="L123" s="4">
        <v>885.65958830083741</v>
      </c>
      <c r="M123" s="5">
        <v>19.315349989652201</v>
      </c>
      <c r="N123" s="5">
        <v>31.217794918999996</v>
      </c>
      <c r="O123" s="5">
        <v>13.8511365083</v>
      </c>
      <c r="P123" s="5">
        <v>1.8389655203517241</v>
      </c>
      <c r="Q123" s="5">
        <v>1.6907695390344832</v>
      </c>
    </row>
    <row r="124" spans="1:17">
      <c r="A124" s="2">
        <v>43891</v>
      </c>
      <c r="B124" s="6">
        <v>3.4110879225806445</v>
      </c>
      <c r="C124" s="6">
        <v>3.4110879225806445</v>
      </c>
      <c r="D124" s="6">
        <v>3.4110879225806445</v>
      </c>
      <c r="E124" s="3">
        <v>0.31912284783870953</v>
      </c>
      <c r="F124" s="4">
        <v>18243.245989999992</v>
      </c>
      <c r="G124" s="4">
        <v>1214.0232504000001</v>
      </c>
      <c r="H124" s="4">
        <v>1809.4471792384063</v>
      </c>
      <c r="I124" s="4">
        <v>100.88115650934979</v>
      </c>
      <c r="J124" s="4">
        <v>1996.796205038195</v>
      </c>
      <c r="K124" s="4">
        <v>132.87969965649947</v>
      </c>
      <c r="L124" s="4">
        <v>1239.6248415816999</v>
      </c>
      <c r="M124" s="5">
        <v>24.615369154585999</v>
      </c>
      <c r="N124" s="5">
        <v>45.440466980700002</v>
      </c>
      <c r="O124" s="5">
        <v>21.064847483999998</v>
      </c>
      <c r="P124" s="5">
        <v>2.8119354835483863</v>
      </c>
      <c r="Q124" s="5">
        <v>2.9138957822580642</v>
      </c>
    </row>
    <row r="125" spans="1:17">
      <c r="A125" s="2">
        <v>43922</v>
      </c>
      <c r="B125" s="3">
        <v>0.67476635166666676</v>
      </c>
      <c r="C125" s="3">
        <v>0.67476635166666676</v>
      </c>
      <c r="D125" s="3">
        <v>0.67476635166666676</v>
      </c>
      <c r="E125" s="3">
        <v>3.1331920433333327E-2</v>
      </c>
      <c r="F125" s="4">
        <v>2247.8718010000007</v>
      </c>
      <c r="G125" s="5">
        <v>47.674757029999995</v>
      </c>
      <c r="H125" s="4">
        <v>134.86953798397784</v>
      </c>
      <c r="I125" s="6">
        <v>5.0356372808713221</v>
      </c>
      <c r="J125" s="4">
        <v>1285.236662505695</v>
      </c>
      <c r="K125" s="5">
        <v>27.258380557281001</v>
      </c>
      <c r="L125" s="4">
        <v>571.34083342355973</v>
      </c>
      <c r="M125" s="5">
        <v>13.018934753982336</v>
      </c>
      <c r="N125" s="5">
        <v>19.9270692176</v>
      </c>
      <c r="O125" s="5">
        <v>28.935829519999999</v>
      </c>
      <c r="P125" s="5">
        <v>6.0813333333333341</v>
      </c>
      <c r="Q125" s="5">
        <v>6.5482922466666666</v>
      </c>
    </row>
    <row r="126" spans="1:17">
      <c r="A126" s="2">
        <v>43952</v>
      </c>
      <c r="B126" s="3">
        <v>0.75296127903225807</v>
      </c>
      <c r="C126" s="3">
        <v>0.75296127903225807</v>
      </c>
      <c r="D126" s="3">
        <v>0.75296127903225807</v>
      </c>
      <c r="E126" s="3">
        <v>5.9617754935483859E-2</v>
      </c>
      <c r="F126" s="4">
        <v>2374.3433889999997</v>
      </c>
      <c r="G126" s="5">
        <v>52.591160030000019</v>
      </c>
      <c r="H126" s="4">
        <v>200.82034806545497</v>
      </c>
      <c r="I126" s="6">
        <v>8.7520279090638695</v>
      </c>
      <c r="J126" s="4">
        <v>1177.3224634660339</v>
      </c>
      <c r="K126" s="5">
        <v>26.077421815324829</v>
      </c>
      <c r="L126" s="4">
        <v>510.85816597757309</v>
      </c>
      <c r="M126" s="5">
        <v>13.421699199631483</v>
      </c>
      <c r="N126" s="5">
        <v>57.772948867000004</v>
      </c>
      <c r="O126" s="5">
        <v>54.277398420000004</v>
      </c>
      <c r="P126" s="5">
        <v>8.896774148387097</v>
      </c>
      <c r="Q126" s="5">
        <v>9.5299872354838726</v>
      </c>
    </row>
    <row r="127" spans="1:17">
      <c r="A127" s="2">
        <v>43983</v>
      </c>
      <c r="B127" s="3">
        <v>0.43377813100000001</v>
      </c>
      <c r="C127" s="3">
        <v>0.43377813100000001</v>
      </c>
      <c r="D127" s="3">
        <v>0.43377813100000001</v>
      </c>
      <c r="E127" s="3">
        <v>3.3039555033333341E-2</v>
      </c>
      <c r="F127" s="4">
        <v>1252.538151</v>
      </c>
      <c r="G127" s="5">
        <v>27.449930079999998</v>
      </c>
      <c r="H127" s="4">
        <v>111.25055945227815</v>
      </c>
      <c r="I127" s="6">
        <v>5.8604736205512751</v>
      </c>
      <c r="J127" s="4">
        <v>1114.0079613364476</v>
      </c>
      <c r="K127" s="5">
        <v>24.413979085407327</v>
      </c>
      <c r="L127" s="4">
        <v>469.89759618238412</v>
      </c>
      <c r="M127" s="5">
        <v>12.948079788237109</v>
      </c>
      <c r="N127" s="5">
        <v>56.143088890000008</v>
      </c>
      <c r="O127" s="5">
        <v>76.514003400000007</v>
      </c>
      <c r="P127" s="5">
        <v>17.362999933333334</v>
      </c>
      <c r="Q127" s="5">
        <v>17.65249893333333</v>
      </c>
    </row>
    <row r="128" spans="1:17">
      <c r="A128" s="2">
        <v>44013</v>
      </c>
      <c r="B128" s="3">
        <v>0.52605085193548384</v>
      </c>
      <c r="C128" s="3">
        <v>0.52605085193548384</v>
      </c>
      <c r="D128" s="3">
        <v>0.52605085193548384</v>
      </c>
      <c r="E128" s="3">
        <v>5.020078348387097E-2</v>
      </c>
      <c r="F128" s="4">
        <v>1589.3539259999991</v>
      </c>
      <c r="G128" s="5">
        <v>39.567314170000003</v>
      </c>
      <c r="H128" s="4">
        <v>172.51026249763981</v>
      </c>
      <c r="I128" s="6">
        <v>9.0049221241078659</v>
      </c>
      <c r="J128" s="4">
        <v>1128.0216361803411</v>
      </c>
      <c r="K128" s="5">
        <v>28.082345944530662</v>
      </c>
      <c r="L128" s="4">
        <v>473.80023063436334</v>
      </c>
      <c r="M128" s="5">
        <v>13.692661706501269</v>
      </c>
      <c r="N128" s="4">
        <v>107.34836103699999</v>
      </c>
      <c r="O128" s="5">
        <v>84.748242499999989</v>
      </c>
      <c r="P128" s="5">
        <v>15.843548419354835</v>
      </c>
      <c r="Q128" s="5">
        <v>16.261184838709674</v>
      </c>
    </row>
    <row r="129" spans="1:17">
      <c r="A129" s="2">
        <v>44044</v>
      </c>
      <c r="B129" s="3">
        <v>0.26872635032258069</v>
      </c>
      <c r="C129" s="3">
        <v>0.26872635032258069</v>
      </c>
      <c r="D129" s="3">
        <v>0.26872635032258069</v>
      </c>
      <c r="E129" s="3">
        <v>2.5116032741935485E-2</v>
      </c>
      <c r="F129" s="4">
        <v>792.47710699999993</v>
      </c>
      <c r="G129" s="5">
        <v>17.251879929999998</v>
      </c>
      <c r="H129" s="5">
        <v>84.849157351898555</v>
      </c>
      <c r="I129" s="6">
        <v>4.7555428484953728</v>
      </c>
      <c r="J129" s="4">
        <v>1101.0347121035563</v>
      </c>
      <c r="K129" s="5">
        <v>23.969044072205467</v>
      </c>
      <c r="L129" s="4">
        <v>407.06631762791454</v>
      </c>
      <c r="M129" s="5">
        <v>14.197131438408407</v>
      </c>
      <c r="N129" s="5">
        <v>41.635072489599999</v>
      </c>
      <c r="O129" s="5">
        <v>56.284691980000012</v>
      </c>
      <c r="P129" s="5">
        <v>17.611290451612906</v>
      </c>
      <c r="Q129" s="5">
        <v>17.404453096774194</v>
      </c>
    </row>
    <row r="130" spans="1:17">
      <c r="A130" s="2">
        <v>44075</v>
      </c>
      <c r="B130" s="3">
        <v>0.14570541139999998</v>
      </c>
      <c r="C130" s="3">
        <v>0.14570541139999998</v>
      </c>
      <c r="D130" s="3">
        <v>0.14570541139999998</v>
      </c>
      <c r="E130" s="3">
        <v>1.2644267353333334E-2</v>
      </c>
      <c r="F130" s="4">
        <v>396.04959479999997</v>
      </c>
      <c r="G130" s="6">
        <v>8.4433658999999981</v>
      </c>
      <c r="H130" s="5">
        <v>42.343907287135835</v>
      </c>
      <c r="I130" s="6">
        <v>2.5591706562610619</v>
      </c>
      <c r="J130" s="4">
        <v>1048.6700660668762</v>
      </c>
      <c r="K130" s="5">
        <v>22.356556448474638</v>
      </c>
      <c r="L130" s="4">
        <v>385.80435657568148</v>
      </c>
      <c r="M130" s="5">
        <v>16.512656877546533</v>
      </c>
      <c r="N130" s="5">
        <v>30.984529799999997</v>
      </c>
      <c r="O130" s="5">
        <v>42.629562500000006</v>
      </c>
      <c r="P130" s="5">
        <v>12.977666636666665</v>
      </c>
      <c r="Q130" s="5">
        <v>12.45576526</v>
      </c>
    </row>
    <row r="131" spans="1:17">
      <c r="A131" s="2">
        <v>44105</v>
      </c>
      <c r="B131" s="3">
        <v>0.7591134033225807</v>
      </c>
      <c r="C131" s="3">
        <v>0.7591134033225807</v>
      </c>
      <c r="D131" s="3">
        <v>0.7591134033225807</v>
      </c>
      <c r="E131" s="3">
        <v>8.2741559909677409E-2</v>
      </c>
      <c r="F131" s="4">
        <v>2331.7764291999997</v>
      </c>
      <c r="G131" s="5">
        <v>59.953913790000009</v>
      </c>
      <c r="H131" s="4">
        <v>293.02447879104631</v>
      </c>
      <c r="I131" s="5">
        <v>10.9704571855581</v>
      </c>
      <c r="J131" s="4">
        <v>1146.8451731697444</v>
      </c>
      <c r="K131" s="5">
        <v>29.487328068540812</v>
      </c>
      <c r="L131" s="4">
        <v>334.84415187090156</v>
      </c>
      <c r="M131" s="5">
        <v>16.236393233466334</v>
      </c>
      <c r="N131" s="5">
        <v>86.655652363000002</v>
      </c>
      <c r="O131" s="5">
        <v>40.524925049999993</v>
      </c>
      <c r="P131" s="5">
        <v>8.4190322290322577</v>
      </c>
      <c r="Q131" s="5">
        <v>7.7831590580645145</v>
      </c>
    </row>
    <row r="132" spans="1:17">
      <c r="A132" s="2">
        <v>44136</v>
      </c>
      <c r="B132" s="3">
        <v>0.59359620833333326</v>
      </c>
      <c r="C132" s="3">
        <v>0.59359620833333326</v>
      </c>
      <c r="D132" s="3">
        <v>0.59359620833333326</v>
      </c>
      <c r="E132" s="3">
        <v>5.3412158033333323E-2</v>
      </c>
      <c r="F132" s="4">
        <v>1703.5462559999996</v>
      </c>
      <c r="G132" s="5">
        <v>29.611269819999997</v>
      </c>
      <c r="H132" s="4">
        <v>169.09670092565759</v>
      </c>
      <c r="I132" s="6">
        <v>6.4857339358614547</v>
      </c>
      <c r="J132" s="4">
        <v>1107.2043676309802</v>
      </c>
      <c r="K132" s="5">
        <v>19.245575190790529</v>
      </c>
      <c r="L132" s="4">
        <v>227.85651666420111</v>
      </c>
      <c r="M132" s="6">
        <v>9.7506588376696222</v>
      </c>
      <c r="N132" s="5">
        <v>33.449771714500002</v>
      </c>
      <c r="O132" s="5">
        <v>23.256836325999998</v>
      </c>
      <c r="P132" s="5">
        <v>5.9873333833333326</v>
      </c>
      <c r="Q132" s="5">
        <v>5.1855370999999995</v>
      </c>
    </row>
    <row r="133" spans="1:17">
      <c r="A133" s="2">
        <v>44166</v>
      </c>
      <c r="B133" s="6">
        <v>2.9356126087096777</v>
      </c>
      <c r="C133" s="6">
        <v>2.9356126087096777</v>
      </c>
      <c r="D133" s="6">
        <v>2.9356126087096777</v>
      </c>
      <c r="E133" s="3">
        <v>0.3184105578387097</v>
      </c>
      <c r="F133" s="4">
        <v>15839.562969999997</v>
      </c>
      <c r="G133" s="4">
        <v>1423.8843580999999</v>
      </c>
      <c r="H133" s="4">
        <v>1825.6100686477646</v>
      </c>
      <c r="I133" s="4">
        <v>120.56797313792428</v>
      </c>
      <c r="J133" s="4">
        <v>2014.5080329320683</v>
      </c>
      <c r="K133" s="4">
        <v>181.09252130498572</v>
      </c>
      <c r="L133" s="4">
        <v>1151.7865999043502</v>
      </c>
      <c r="M133" s="5">
        <v>24.912239253020857</v>
      </c>
      <c r="N133" s="5">
        <v>81.40293295859999</v>
      </c>
      <c r="O133" s="5">
        <v>25.618503969999995</v>
      </c>
      <c r="P133" s="5">
        <v>3.0938709680645164</v>
      </c>
      <c r="Q133" s="5">
        <v>2.3688144987096775</v>
      </c>
    </row>
    <row r="134" spans="1:17">
      <c r="A134" s="2">
        <v>44197</v>
      </c>
      <c r="B134" s="6">
        <v>4.7540488032258059</v>
      </c>
      <c r="C134" s="6">
        <v>4.7540488032258059</v>
      </c>
      <c r="D134" s="6">
        <v>4.7540488032258059</v>
      </c>
      <c r="E134" s="3">
        <v>0.44720790838709684</v>
      </c>
      <c r="F134" s="4">
        <v>28317.963650000002</v>
      </c>
      <c r="G134" s="4">
        <v>1723.040174</v>
      </c>
      <c r="H134" s="4">
        <v>2906.4839235519121</v>
      </c>
      <c r="I134" s="4">
        <v>145.94034234409034</v>
      </c>
      <c r="J134" s="4">
        <v>2223.9393311762469</v>
      </c>
      <c r="K134" s="4">
        <v>135.31823341286781</v>
      </c>
      <c r="L134" s="4">
        <v>1378.052909541384</v>
      </c>
      <c r="M134" s="5">
        <v>27.81983900236186</v>
      </c>
      <c r="N134" s="5">
        <v>84.632327578999991</v>
      </c>
      <c r="O134" s="5">
        <v>18.358491600599997</v>
      </c>
      <c r="P134" s="5">
        <v>-1.9709677546774194</v>
      </c>
      <c r="Q134" s="5">
        <v>0.29921890914024846</v>
      </c>
    </row>
    <row r="135" spans="1:17">
      <c r="A135" s="2">
        <v>44228</v>
      </c>
      <c r="B135" s="6">
        <v>3.8632186535714288</v>
      </c>
      <c r="C135" s="6">
        <v>3.8632186535714288</v>
      </c>
      <c r="D135" s="6">
        <v>3.8632186535714288</v>
      </c>
      <c r="E135" s="3">
        <v>0.35051464864285714</v>
      </c>
      <c r="F135" s="4">
        <v>18875.257839999998</v>
      </c>
      <c r="G135" s="4">
        <v>1043.6951777000002</v>
      </c>
      <c r="H135" s="4">
        <v>1788.2906784134279</v>
      </c>
      <c r="I135" s="5">
        <v>83.693744299009367</v>
      </c>
      <c r="J135" s="4">
        <v>2019.6300192414833</v>
      </c>
      <c r="K135" s="4">
        <v>111.67413407094138</v>
      </c>
      <c r="L135" s="4">
        <v>1202.7275121437463</v>
      </c>
      <c r="M135" s="5">
        <v>23.56437414693254</v>
      </c>
      <c r="N135" s="5">
        <v>21.258743380400002</v>
      </c>
      <c r="O135" s="6">
        <v>8.7893340981700021</v>
      </c>
      <c r="P135" s="5">
        <v>-3.2467856857142854</v>
      </c>
      <c r="Q135" s="5">
        <v>0.46213713491786423</v>
      </c>
    </row>
    <row r="136" spans="1:17">
      <c r="A136" s="2">
        <v>44256</v>
      </c>
      <c r="B136" s="6">
        <v>2.527125632258064</v>
      </c>
      <c r="C136" s="6">
        <v>2.527125632258064</v>
      </c>
      <c r="D136" s="6">
        <v>2.527125632258064</v>
      </c>
      <c r="E136" s="3">
        <v>0.17504865596774194</v>
      </c>
      <c r="F136" s="4">
        <v>10625.194409999996</v>
      </c>
      <c r="G136" s="4">
        <v>396.44717289999994</v>
      </c>
      <c r="H136" s="4">
        <v>842.39750006041891</v>
      </c>
      <c r="I136" s="5">
        <v>33.844479072030836</v>
      </c>
      <c r="J136" s="4">
        <v>1569.7648044546881</v>
      </c>
      <c r="K136" s="5">
        <v>58.571052673523262</v>
      </c>
      <c r="L136" s="4">
        <v>781.16615674027946</v>
      </c>
      <c r="M136" s="5">
        <v>15.316462380759797</v>
      </c>
      <c r="N136" s="5">
        <v>16.5482503904</v>
      </c>
      <c r="O136" s="5">
        <v>15.960998701999999</v>
      </c>
      <c r="P136" s="5">
        <v>2.6174193432258064</v>
      </c>
      <c r="Q136" s="5">
        <v>2.7232686197419351</v>
      </c>
    </row>
    <row r="137" spans="1:17">
      <c r="A137" s="2">
        <v>44287</v>
      </c>
      <c r="B137" s="3">
        <v>0.90456666533333341</v>
      </c>
      <c r="C137" s="3">
        <v>0.90456666533333341</v>
      </c>
      <c r="D137" s="3">
        <v>0.90456666533333341</v>
      </c>
      <c r="E137" s="3">
        <v>4.729441789999999E-2</v>
      </c>
      <c r="F137" s="4">
        <v>3013.3040839999999</v>
      </c>
      <c r="G137" s="5">
        <v>63.354565999999998</v>
      </c>
      <c r="H137" s="4">
        <v>186.26564401062504</v>
      </c>
      <c r="I137" s="6">
        <v>7.1643717759527465</v>
      </c>
      <c r="J137" s="4">
        <v>1285.1900713873738</v>
      </c>
      <c r="K137" s="5">
        <v>27.021056325267516</v>
      </c>
      <c r="L137" s="4">
        <v>576.96057587015434</v>
      </c>
      <c r="M137" s="5">
        <v>12.290625184077967</v>
      </c>
      <c r="N137" s="5">
        <v>30.853271979999995</v>
      </c>
      <c r="O137" s="5">
        <v>25.640441020000001</v>
      </c>
      <c r="P137" s="5">
        <v>4.4796666633333331</v>
      </c>
      <c r="Q137" s="5">
        <v>5.2848778066666657</v>
      </c>
    </row>
    <row r="138" spans="1:17">
      <c r="A138" s="2">
        <v>44317</v>
      </c>
      <c r="B138" s="6">
        <v>3.6503733667741933</v>
      </c>
      <c r="C138" s="6">
        <v>3.6503733667741933</v>
      </c>
      <c r="D138" s="6">
        <v>3.6503733667741933</v>
      </c>
      <c r="E138" s="3">
        <v>0.37807428264516124</v>
      </c>
      <c r="F138" s="4">
        <v>18739.269014000001</v>
      </c>
      <c r="G138" s="4">
        <v>1384.8815315999998</v>
      </c>
      <c r="H138" s="4">
        <v>1924.7139014816298</v>
      </c>
      <c r="I138" s="4">
        <v>118.56655082533281</v>
      </c>
      <c r="J138" s="4">
        <v>1916.6370865192223</v>
      </c>
      <c r="K138" s="4">
        <v>141.64455030853696</v>
      </c>
      <c r="L138" s="4">
        <v>1188.1981090888528</v>
      </c>
      <c r="M138" s="5">
        <v>25.27394447180113</v>
      </c>
      <c r="N138" s="4">
        <v>123.00462101069999</v>
      </c>
      <c r="O138" s="5">
        <v>72.251339690000009</v>
      </c>
      <c r="P138" s="5">
        <v>9.6587097032258065</v>
      </c>
      <c r="Q138" s="5">
        <v>9.9605833258064536</v>
      </c>
    </row>
    <row r="139" spans="1:17">
      <c r="A139" s="2">
        <v>44348</v>
      </c>
      <c r="B139" s="6">
        <v>1.2267335946666666</v>
      </c>
      <c r="C139" s="6">
        <v>1.2267335946666666</v>
      </c>
      <c r="D139" s="6">
        <v>1.2267335946666666</v>
      </c>
      <c r="E139" s="3">
        <v>5.5070063033333332E-2</v>
      </c>
      <c r="F139" s="4">
        <v>4436.6441939999995</v>
      </c>
      <c r="G139" s="4">
        <v>154.25468288000002</v>
      </c>
      <c r="H139" s="4">
        <v>244.36742486871353</v>
      </c>
      <c r="I139" s="6">
        <v>9.5979797586284725</v>
      </c>
      <c r="J139" s="4">
        <v>1395.3055738234227</v>
      </c>
      <c r="K139" s="5">
        <v>48.512435680148819</v>
      </c>
      <c r="L139" s="4">
        <v>639.22599957198429</v>
      </c>
      <c r="M139" s="5">
        <v>12.901724266979121</v>
      </c>
      <c r="N139" s="5">
        <v>37.91582923</v>
      </c>
      <c r="O139" s="5">
        <v>78.293369200000001</v>
      </c>
      <c r="P139" s="5">
        <v>17.967333333333332</v>
      </c>
      <c r="Q139" s="5">
        <v>18.330565999999997</v>
      </c>
    </row>
    <row r="140" spans="1:17">
      <c r="A140" s="2">
        <v>44378</v>
      </c>
      <c r="B140" s="3">
        <v>0.26472641451612899</v>
      </c>
      <c r="C140" s="3">
        <v>0.26472641451612899</v>
      </c>
      <c r="D140" s="3">
        <v>0.26472641451612899</v>
      </c>
      <c r="E140" s="3">
        <v>1.3240593883870966E-2</v>
      </c>
      <c r="F140" s="4">
        <v>780.55198199999995</v>
      </c>
      <c r="G140" s="5">
        <v>11.38056675</v>
      </c>
      <c r="H140" s="5">
        <v>44.346715323125402</v>
      </c>
      <c r="I140" s="6">
        <v>2.2935509939511518</v>
      </c>
      <c r="J140" s="4">
        <v>1100.8524031726954</v>
      </c>
      <c r="K140" s="5">
        <v>16.05059580402833</v>
      </c>
      <c r="L140" s="4">
        <v>302.23376751041775</v>
      </c>
      <c r="M140" s="6">
        <v>6.0144007142959559</v>
      </c>
      <c r="N140" s="5">
        <v>30.006230349999999</v>
      </c>
      <c r="O140" s="5">
        <v>55.648241600000006</v>
      </c>
      <c r="P140" s="5">
        <v>19.914515935483873</v>
      </c>
      <c r="Q140" s="5">
        <v>19.978151</v>
      </c>
    </row>
    <row r="141" spans="1:17">
      <c r="A141" s="2">
        <v>44409</v>
      </c>
      <c r="B141" s="3">
        <v>0.41117758000000004</v>
      </c>
      <c r="C141" s="3">
        <v>0.41117758000000004</v>
      </c>
      <c r="D141" s="3">
        <v>0.41117758000000004</v>
      </c>
      <c r="E141" s="3">
        <v>3.5972802877419358E-2</v>
      </c>
      <c r="F141" s="4">
        <v>1229.4453150000002</v>
      </c>
      <c r="G141" s="5">
        <v>28.648671330000006</v>
      </c>
      <c r="H141" s="4">
        <v>118.20345286935853</v>
      </c>
      <c r="I141" s="6">
        <v>7.0364329596528039</v>
      </c>
      <c r="J141" s="4">
        <v>1116.3601919499226</v>
      </c>
      <c r="K141" s="5">
        <v>26.013549272633853</v>
      </c>
      <c r="L141" s="4">
        <v>404.84309958114522</v>
      </c>
      <c r="M141" s="5">
        <v>16.030189772694754</v>
      </c>
      <c r="N141" s="5">
        <v>99.568901804999996</v>
      </c>
      <c r="O141" s="5">
        <v>66.837753200000009</v>
      </c>
      <c r="P141" s="5">
        <v>14.921290451612904</v>
      </c>
      <c r="Q141" s="5">
        <v>15.029516354838709</v>
      </c>
    </row>
    <row r="142" spans="1:17">
      <c r="A142" s="2">
        <v>44440</v>
      </c>
      <c r="B142" s="3">
        <v>0.21439897066666666</v>
      </c>
      <c r="C142" s="3">
        <v>0.21439897066666666</v>
      </c>
      <c r="D142" s="3">
        <v>0.21439897066666666</v>
      </c>
      <c r="E142" s="3">
        <v>1.6006561269999994E-2</v>
      </c>
      <c r="F142" s="4">
        <v>592.93625099999997</v>
      </c>
      <c r="G142" s="5">
        <v>13.44833234</v>
      </c>
      <c r="H142" s="5">
        <v>47.095539629889267</v>
      </c>
      <c r="I142" s="6">
        <v>2.7439448365279158</v>
      </c>
      <c r="J142" s="4">
        <v>1066.9653075290676</v>
      </c>
      <c r="K142" s="5">
        <v>24.199741327220313</v>
      </c>
      <c r="L142" s="4">
        <v>421.26600375190588</v>
      </c>
      <c r="M142" s="5">
        <v>17.988641968243854</v>
      </c>
      <c r="N142" s="5">
        <v>34.153139420400002</v>
      </c>
      <c r="O142" s="5">
        <v>39.23262038</v>
      </c>
      <c r="P142" s="5">
        <v>11.438999970000001</v>
      </c>
      <c r="Q142" s="5">
        <v>11.102868860000001</v>
      </c>
    </row>
    <row r="143" spans="1:17">
      <c r="A143" s="2">
        <v>44470</v>
      </c>
      <c r="B143" s="3">
        <v>0.33012652322580649</v>
      </c>
      <c r="C143" s="3">
        <v>0.33012652322580649</v>
      </c>
      <c r="D143" s="3">
        <v>0.33012652322580649</v>
      </c>
      <c r="E143" s="3">
        <v>3.4768431935483866E-2</v>
      </c>
      <c r="F143" s="4">
        <v>930.71822999999995</v>
      </c>
      <c r="G143" s="5">
        <v>23.117973469999995</v>
      </c>
      <c r="H143" s="4">
        <v>111.42903052944841</v>
      </c>
      <c r="I143" s="6">
        <v>5.6094340462170003</v>
      </c>
      <c r="J143" s="4">
        <v>1052.5975221408391</v>
      </c>
      <c r="K143" s="5">
        <v>26.145315320895808</v>
      </c>
      <c r="L143" s="4">
        <v>426.47401390172786</v>
      </c>
      <c r="M143" s="5">
        <v>19.988821066208139</v>
      </c>
      <c r="N143" s="5">
        <v>54.688801940999994</v>
      </c>
      <c r="O143" s="5">
        <v>35.143127079999992</v>
      </c>
      <c r="P143" s="5">
        <v>8.5338709709677438</v>
      </c>
      <c r="Q143" s="5">
        <v>7.8152986806451619</v>
      </c>
    </row>
    <row r="144" spans="1:17">
      <c r="A144" s="2">
        <v>44501</v>
      </c>
      <c r="B144" s="3">
        <v>0.5086570983333335</v>
      </c>
      <c r="C144" s="3">
        <v>0.5086570983333335</v>
      </c>
      <c r="D144" s="3">
        <v>0.5086570983333335</v>
      </c>
      <c r="E144" s="3">
        <v>5.4025456466666663E-2</v>
      </c>
      <c r="F144" s="4">
        <v>1375.0819439999996</v>
      </c>
      <c r="G144" s="5">
        <v>29.131498749999999</v>
      </c>
      <c r="H144" s="4">
        <v>161.92717561225743</v>
      </c>
      <c r="I144" s="6">
        <v>6.2799520567553886</v>
      </c>
      <c r="J144" s="4">
        <v>1042.9618926261301</v>
      </c>
      <c r="K144" s="5">
        <v>22.095442143207631</v>
      </c>
      <c r="L144" s="4">
        <v>304.82893123030277</v>
      </c>
      <c r="M144" s="5">
        <v>14.445186354228039</v>
      </c>
      <c r="N144" s="5">
        <v>26.910038564499999</v>
      </c>
      <c r="O144" s="5">
        <v>14.818956027699999</v>
      </c>
      <c r="P144" s="5">
        <v>2.7196666796666662</v>
      </c>
      <c r="Q144" s="5">
        <v>2.9605951093333336</v>
      </c>
    </row>
    <row r="145" spans="1:17">
      <c r="A145" s="2">
        <v>44531</v>
      </c>
      <c r="B145" s="3">
        <v>0.51541827064516121</v>
      </c>
      <c r="C145" s="3">
        <v>0.51541827064516121</v>
      </c>
      <c r="D145" s="3">
        <v>0.51541827064516121</v>
      </c>
      <c r="E145" s="3">
        <v>5.4943421000000006E-2</v>
      </c>
      <c r="F145" s="4">
        <v>1578.0592180000001</v>
      </c>
      <c r="G145" s="5">
        <v>26.045148319999999</v>
      </c>
      <c r="H145" s="4">
        <v>190.1448828012787</v>
      </c>
      <c r="I145" s="6">
        <v>6.7489259475330234</v>
      </c>
      <c r="J145" s="4">
        <v>1143.1100377558241</v>
      </c>
      <c r="K145" s="5">
        <v>18.866509988310334</v>
      </c>
      <c r="L145" s="4">
        <v>404.39085684667401</v>
      </c>
      <c r="M145" s="5">
        <v>12.150855354126755</v>
      </c>
      <c r="N145" s="5">
        <v>35.730386757999995</v>
      </c>
      <c r="O145" s="6">
        <v>9.5704723875999989</v>
      </c>
      <c r="P145" s="5">
        <v>-2.8893548258129029</v>
      </c>
      <c r="Q145" s="5">
        <v>3.3606638297741936E-2</v>
      </c>
    </row>
    <row r="146" spans="1:17">
      <c r="A146" s="2">
        <v>44562</v>
      </c>
      <c r="B146" s="6">
        <v>2.8092608967741937</v>
      </c>
      <c r="C146" s="6">
        <v>2.8092608967741937</v>
      </c>
      <c r="D146" s="6">
        <v>2.8092608967741937</v>
      </c>
      <c r="E146" s="3">
        <v>0.3036858132258064</v>
      </c>
      <c r="F146" s="4">
        <v>14321.842420000001</v>
      </c>
      <c r="G146" s="4">
        <v>705.1689384</v>
      </c>
      <c r="H146" s="4">
        <v>1675.661570406116</v>
      </c>
      <c r="I146" s="5">
        <v>86.923926594961799</v>
      </c>
      <c r="J146" s="4">
        <v>1903.4056785282071</v>
      </c>
      <c r="K146" s="5">
        <v>93.718570031955167</v>
      </c>
      <c r="L146" s="4">
        <v>1093.6417201767013</v>
      </c>
      <c r="M146" s="5">
        <v>23.070572062809749</v>
      </c>
      <c r="N146" s="5">
        <v>62.109388333099986</v>
      </c>
      <c r="O146" s="5">
        <v>15.250233368300004</v>
      </c>
      <c r="P146" s="5">
        <v>-0.51064515774193553</v>
      </c>
      <c r="Q146" s="5">
        <v>9.8751609609677424E-2</v>
      </c>
    </row>
    <row r="147" spans="1:17">
      <c r="A147" s="2">
        <v>44593</v>
      </c>
      <c r="B147" s="6">
        <v>4.9858735964285712</v>
      </c>
      <c r="C147" s="6">
        <v>4.9858735964285712</v>
      </c>
      <c r="D147" s="6">
        <v>4.9858735964285712</v>
      </c>
      <c r="E147" s="3">
        <v>0.47326839892857142</v>
      </c>
      <c r="F147" s="4">
        <v>26079.162120000001</v>
      </c>
      <c r="G147" s="4">
        <v>1511.6750139999999</v>
      </c>
      <c r="H147" s="4">
        <v>2617.8612249575044</v>
      </c>
      <c r="I147" s="4">
        <v>134.89164548909355</v>
      </c>
      <c r="J147" s="4">
        <v>2162.1239147897422</v>
      </c>
      <c r="K147" s="4">
        <v>125.32721093092802</v>
      </c>
      <c r="L147" s="4">
        <v>1331.3024488536332</v>
      </c>
      <c r="M147" s="5">
        <v>26.708946784060238</v>
      </c>
      <c r="N147" s="5">
        <v>58.738081389999998</v>
      </c>
      <c r="O147" s="5">
        <v>14.909190344000001</v>
      </c>
      <c r="P147" s="5">
        <v>-0.24035715964285717</v>
      </c>
      <c r="Q147" s="5">
        <v>0.20470893416879288</v>
      </c>
    </row>
    <row r="148" spans="1:17">
      <c r="A148" s="2">
        <v>44621</v>
      </c>
      <c r="B148" s="6">
        <v>2.0899975754838716</v>
      </c>
      <c r="C148" s="6">
        <v>2.0899975754838716</v>
      </c>
      <c r="D148" s="6">
        <v>2.0899975754838716</v>
      </c>
      <c r="E148" s="3">
        <v>0.13553023603225806</v>
      </c>
      <c r="F148" s="4">
        <v>8931.9074230000006</v>
      </c>
      <c r="G148" s="4">
        <v>338.74977970000003</v>
      </c>
      <c r="H148" s="4">
        <v>674.82599796793124</v>
      </c>
      <c r="I148" s="5">
        <v>25.505016639845845</v>
      </c>
      <c r="J148" s="4">
        <v>1595.5961027490775</v>
      </c>
      <c r="K148" s="5">
        <v>60.514268032158782</v>
      </c>
      <c r="L148" s="4">
        <v>810.03120883339011</v>
      </c>
      <c r="M148" s="5">
        <v>16.94331349830782</v>
      </c>
      <c r="N148" s="6">
        <v>1.3558885159999998</v>
      </c>
      <c r="O148" s="5">
        <v>11.176364153400002</v>
      </c>
      <c r="P148" s="5">
        <v>2.5225806490322578</v>
      </c>
      <c r="Q148" s="5">
        <v>2.632874810580645</v>
      </c>
    </row>
    <row r="149" spans="1:17">
      <c r="A149" s="2">
        <v>44652</v>
      </c>
      <c r="B149" s="6">
        <v>1.802102352333333</v>
      </c>
      <c r="C149" s="6">
        <v>1.802102352333333</v>
      </c>
      <c r="D149" s="6">
        <v>1.802102352333333</v>
      </c>
      <c r="E149" s="3">
        <v>0.14629649529999997</v>
      </c>
      <c r="F149" s="4">
        <v>8389.8244570000006</v>
      </c>
      <c r="G149" s="4">
        <v>348.16885459999997</v>
      </c>
      <c r="H149" s="4">
        <v>742.07233559114161</v>
      </c>
      <c r="I149" s="5">
        <v>35.56450205960288</v>
      </c>
      <c r="J149" s="4">
        <v>1796.132607707802</v>
      </c>
      <c r="K149" s="5">
        <v>74.537605789122068</v>
      </c>
      <c r="L149" s="4">
        <v>1056.9691952964888</v>
      </c>
      <c r="M149" s="5">
        <v>21.481390731240371</v>
      </c>
      <c r="N149" s="5">
        <v>36.904448612500005</v>
      </c>
      <c r="O149" s="5">
        <v>26.758007277000004</v>
      </c>
      <c r="P149" s="5">
        <v>4.3886666183333327</v>
      </c>
      <c r="Q149" s="5">
        <v>4.7309497936666665</v>
      </c>
    </row>
    <row r="150" spans="1:17">
      <c r="A150" s="2">
        <v>44682</v>
      </c>
      <c r="B150" s="3">
        <v>0.46620803935483868</v>
      </c>
      <c r="C150" s="3">
        <v>0.46620803935483868</v>
      </c>
      <c r="D150" s="3">
        <v>0.46620803935483868</v>
      </c>
      <c r="E150" s="3">
        <v>2.2311368806451612E-2</v>
      </c>
      <c r="F150" s="4">
        <v>1489.8821740000001</v>
      </c>
      <c r="G150" s="5">
        <v>27.551483450000006</v>
      </c>
      <c r="H150" s="5">
        <v>94.845617417185252</v>
      </c>
      <c r="I150" s="6">
        <v>3.8261298839890125</v>
      </c>
      <c r="J150" s="4">
        <v>1193.1545708656879</v>
      </c>
      <c r="K150" s="5">
        <v>22.064280407337861</v>
      </c>
      <c r="L150" s="4">
        <v>514.74519589586544</v>
      </c>
      <c r="M150" s="5">
        <v>12.672124994591806</v>
      </c>
      <c r="N150" s="5">
        <v>50.878733880000006</v>
      </c>
      <c r="O150" s="5">
        <v>53.010949330000003</v>
      </c>
      <c r="P150" s="5">
        <v>10.528709719354838</v>
      </c>
      <c r="Q150" s="5">
        <v>11.102031764516131</v>
      </c>
    </row>
    <row r="151" spans="1:17">
      <c r="A151" s="2">
        <v>44713</v>
      </c>
      <c r="B151" s="3">
        <v>0.49300857166666673</v>
      </c>
      <c r="C151" s="3">
        <v>0.49300857166666673</v>
      </c>
      <c r="D151" s="3">
        <v>0.49300857166666673</v>
      </c>
      <c r="E151" s="3">
        <v>4.5728737766666673E-2</v>
      </c>
      <c r="F151" s="4">
        <v>1483.4314089999998</v>
      </c>
      <c r="G151" s="5">
        <v>33.002138899999991</v>
      </c>
      <c r="H151" s="4">
        <v>150.76788721500031</v>
      </c>
      <c r="I151" s="6">
        <v>6.7478353514802185</v>
      </c>
      <c r="J151" s="4">
        <v>1160.8550185712875</v>
      </c>
      <c r="K151" s="5">
        <v>25.825729600944477</v>
      </c>
      <c r="L151" s="4">
        <v>471.46747875540882</v>
      </c>
      <c r="M151" s="5">
        <v>12.654319884450331</v>
      </c>
      <c r="N151" s="5">
        <v>54.738055680000009</v>
      </c>
      <c r="O151" s="5">
        <v>75.881374799999989</v>
      </c>
      <c r="P151" s="5">
        <v>17.091999966666666</v>
      </c>
      <c r="Q151" s="5">
        <v>17.281120166666664</v>
      </c>
    </row>
    <row r="152" spans="1:17">
      <c r="A152" s="2">
        <v>44743</v>
      </c>
      <c r="B152" s="3">
        <v>0.1290353837096774</v>
      </c>
      <c r="C152" s="3">
        <v>0.1290353837096774</v>
      </c>
      <c r="D152" s="3">
        <v>0.1290353837096774</v>
      </c>
      <c r="E152" s="3">
        <v>9.8192257354838709E-3</v>
      </c>
      <c r="F152" s="4">
        <v>366.2706811000001</v>
      </c>
      <c r="G152" s="6">
        <v>5.4791049530000011</v>
      </c>
      <c r="H152" s="5">
        <v>30.19518859179043</v>
      </c>
      <c r="I152" s="6">
        <v>1.8160393166187343</v>
      </c>
      <c r="J152" s="4">
        <v>1059.7852588110545</v>
      </c>
      <c r="K152" s="5">
        <v>15.853506776467803</v>
      </c>
      <c r="L152" s="4">
        <v>306.82518851230355</v>
      </c>
      <c r="M152" s="6">
        <v>9.3458035266416797</v>
      </c>
      <c r="N152" s="5">
        <v>38.467992930000008</v>
      </c>
      <c r="O152" s="5">
        <v>58.479273099999986</v>
      </c>
      <c r="P152" s="5">
        <v>17.292580612903222</v>
      </c>
      <c r="Q152" s="5">
        <v>17.502317483870971</v>
      </c>
    </row>
    <row r="153" spans="1:17">
      <c r="A153" s="2">
        <v>44774</v>
      </c>
      <c r="B153" s="3">
        <v>0.21746747687096768</v>
      </c>
      <c r="C153" s="3">
        <v>0.21746747687096768</v>
      </c>
      <c r="D153" s="3">
        <v>0.21746747687096768</v>
      </c>
      <c r="E153" s="3">
        <v>1.9340843677419353E-2</v>
      </c>
      <c r="F153" s="4">
        <v>598.75223779999999</v>
      </c>
      <c r="G153" s="5">
        <v>14.111774157000001</v>
      </c>
      <c r="H153" s="5">
        <v>56.336107987312033</v>
      </c>
      <c r="I153" s="6">
        <v>4.1897815173935298</v>
      </c>
      <c r="J153" s="4">
        <v>1027.9627711519618</v>
      </c>
      <c r="K153" s="5">
        <v>24.227681406606234</v>
      </c>
      <c r="L153" s="4">
        <v>312.09368044686005</v>
      </c>
      <c r="M153" s="5">
        <v>16.854982702664685</v>
      </c>
      <c r="N153" s="5">
        <v>72.702788489999989</v>
      </c>
      <c r="O153" s="5">
        <v>59.401317199999994</v>
      </c>
      <c r="P153" s="5">
        <v>18.22129032258065</v>
      </c>
      <c r="Q153" s="5">
        <v>18.006262935483875</v>
      </c>
    </row>
    <row r="154" spans="1:17">
      <c r="A154" s="2">
        <v>44805</v>
      </c>
      <c r="B154" s="3">
        <v>0.32977443766666664</v>
      </c>
      <c r="C154" s="3">
        <v>0.32977443766666664</v>
      </c>
      <c r="D154" s="3">
        <v>0.32977443766666664</v>
      </c>
      <c r="E154" s="3">
        <v>2.4286826803333328E-2</v>
      </c>
      <c r="F154" s="4">
        <v>928.2711111000001</v>
      </c>
      <c r="G154" s="5">
        <v>30.323177810000004</v>
      </c>
      <c r="H154" s="5">
        <v>76.095648056620931</v>
      </c>
      <c r="I154" s="6">
        <v>5.0866993926721964</v>
      </c>
      <c r="J154" s="4">
        <v>1085.9825012274871</v>
      </c>
      <c r="K154" s="5">
        <v>35.475024659965435</v>
      </c>
      <c r="L154" s="4">
        <v>509.96470952964057</v>
      </c>
      <c r="M154" s="5">
        <v>23.926458359692415</v>
      </c>
      <c r="N154" s="5">
        <v>60.109441798999988</v>
      </c>
      <c r="O154" s="5">
        <v>42.708622089999999</v>
      </c>
      <c r="P154" s="5">
        <v>10.833333363333333</v>
      </c>
      <c r="Q154" s="5">
        <v>10.636655753333331</v>
      </c>
    </row>
    <row r="155" spans="1:17">
      <c r="A155" s="2">
        <v>44835</v>
      </c>
      <c r="B155" s="3">
        <v>0.31873564387096776</v>
      </c>
      <c r="C155" s="3">
        <v>0.31873564387096776</v>
      </c>
      <c r="D155" s="3">
        <v>0.31873564387096776</v>
      </c>
      <c r="E155" s="3">
        <v>3.0255524483870967E-2</v>
      </c>
      <c r="F155" s="4">
        <v>980.30824099999995</v>
      </c>
      <c r="G155" s="5">
        <v>25.350373000000005</v>
      </c>
      <c r="H155" s="4">
        <v>103.52781777464905</v>
      </c>
      <c r="I155" s="6">
        <v>5.3569949158496151</v>
      </c>
      <c r="J155" s="4">
        <v>1148.3031662499561</v>
      </c>
      <c r="K155" s="5">
        <v>29.694653505770606</v>
      </c>
      <c r="L155" s="4">
        <v>492.97606374453414</v>
      </c>
      <c r="M155" s="5">
        <v>20.902083370954198</v>
      </c>
      <c r="N155" s="5">
        <v>41.14268741099999</v>
      </c>
      <c r="O155" s="5">
        <v>34.298659909999998</v>
      </c>
      <c r="P155" s="5">
        <v>9.0816128774193512</v>
      </c>
      <c r="Q155" s="5">
        <v>8.2232548451612892</v>
      </c>
    </row>
    <row r="156" spans="1:17">
      <c r="A156" s="2">
        <v>44866</v>
      </c>
      <c r="B156" s="3">
        <v>0.57473161100000003</v>
      </c>
      <c r="C156" s="3">
        <v>0.57473161100000003</v>
      </c>
      <c r="D156" s="3">
        <v>0.57473161100000003</v>
      </c>
      <c r="E156" s="3">
        <v>8.1326458866666659E-2</v>
      </c>
      <c r="F156" s="4">
        <v>1709.5550479999999</v>
      </c>
      <c r="G156" s="5">
        <v>38.573647019999996</v>
      </c>
      <c r="H156" s="4">
        <v>286.57022363848631</v>
      </c>
      <c r="I156" s="6">
        <v>9.6994747865370066</v>
      </c>
      <c r="J156" s="4">
        <v>1147.5800566039493</v>
      </c>
      <c r="K156" s="5">
        <v>25.893490535011153</v>
      </c>
      <c r="L156" s="4">
        <v>351.12417819325015</v>
      </c>
      <c r="M156" s="5">
        <v>14.472828074575215</v>
      </c>
      <c r="N156" s="5">
        <v>62.152933817299996</v>
      </c>
      <c r="O156" s="5">
        <v>24.548370176999999</v>
      </c>
      <c r="P156" s="5">
        <v>4.5919999789999997</v>
      </c>
      <c r="Q156" s="5">
        <v>3.9247061346666667</v>
      </c>
    </row>
    <row r="157" spans="1:17">
      <c r="A157" s="2">
        <v>44896</v>
      </c>
      <c r="B157" s="6">
        <v>1.87100468</v>
      </c>
      <c r="C157" s="6">
        <v>1.87100468</v>
      </c>
      <c r="D157" s="6">
        <v>1.87100468</v>
      </c>
      <c r="E157" s="3">
        <v>0.19959033577419358</v>
      </c>
      <c r="F157" s="4">
        <v>8621.120746999999</v>
      </c>
      <c r="G157" s="4">
        <v>1095.9085070000001</v>
      </c>
      <c r="H157" s="4">
        <v>1028.1195148827539</v>
      </c>
      <c r="I157" s="5">
        <v>65.632602687842237</v>
      </c>
      <c r="J157" s="4">
        <v>1720.3365186669582</v>
      </c>
      <c r="K157" s="4">
        <v>218.68750352823034</v>
      </c>
      <c r="L157" s="4">
        <v>801.16273693284393</v>
      </c>
      <c r="M157" s="5">
        <v>17.705037052939783</v>
      </c>
      <c r="N157" s="5">
        <v>41.754407788599998</v>
      </c>
      <c r="O157" s="5">
        <v>10.748044034900001</v>
      </c>
      <c r="P157" s="5">
        <v>-2.8296774348387093</v>
      </c>
      <c r="Q157" s="5">
        <v>0.16850774472193547</v>
      </c>
    </row>
    <row r="158" spans="1:17">
      <c r="A158" s="2">
        <v>44927</v>
      </c>
      <c r="B158" s="6">
        <v>5.9955800516129019</v>
      </c>
      <c r="C158" s="6">
        <v>5.9955800516129019</v>
      </c>
      <c r="D158" s="6">
        <v>5.9955800516129019</v>
      </c>
      <c r="E158" s="3">
        <v>0.56761078290322586</v>
      </c>
      <c r="F158" s="4">
        <v>35403.812310000008</v>
      </c>
      <c r="G158" s="4">
        <v>2290.2409539999999</v>
      </c>
      <c r="H158" s="4">
        <v>3556.3211163005594</v>
      </c>
      <c r="I158" s="4">
        <v>188.90847208444336</v>
      </c>
      <c r="J158" s="4">
        <v>2204.6688254328747</v>
      </c>
      <c r="K158" s="4">
        <v>142.61805657066103</v>
      </c>
      <c r="L158" s="4">
        <v>1274.6925562842375</v>
      </c>
      <c r="M158" s="5">
        <v>25.562843943328627</v>
      </c>
      <c r="N158" s="5">
        <v>76.925639257999975</v>
      </c>
      <c r="O158" s="5">
        <v>19.736578901799998</v>
      </c>
      <c r="P158" s="5">
        <v>0.10774193222580644</v>
      </c>
      <c r="Q158" s="5">
        <v>0.51687028152258063</v>
      </c>
    </row>
    <row r="159" spans="1:17">
      <c r="A159" s="2">
        <v>44958</v>
      </c>
      <c r="B159" s="6">
        <v>2.3289109214285708</v>
      </c>
      <c r="C159" s="6">
        <v>2.3289109214285708</v>
      </c>
      <c r="D159" s="6">
        <v>2.3289109214285708</v>
      </c>
      <c r="E159" s="3">
        <v>0.18506050785714287</v>
      </c>
      <c r="F159" s="4">
        <v>9815.4558699999998</v>
      </c>
      <c r="G159" s="4">
        <v>379.74993109999997</v>
      </c>
      <c r="H159" s="4">
        <v>964.8453371987132</v>
      </c>
      <c r="I159" s="5">
        <v>44.913458152870398</v>
      </c>
      <c r="J159" s="4">
        <v>1742.1510363795037</v>
      </c>
      <c r="K159" s="5">
        <v>67.402039940526493</v>
      </c>
      <c r="L159" s="4">
        <v>913.50156838766077</v>
      </c>
      <c r="M159" s="5">
        <v>18.617033675347066</v>
      </c>
      <c r="N159" s="5">
        <v>35.393003545000006</v>
      </c>
      <c r="O159" s="6">
        <v>9.9338197681000011</v>
      </c>
      <c r="P159" s="5">
        <v>-0.55178569749999984</v>
      </c>
      <c r="Q159" s="5">
        <v>0.24401351708214278</v>
      </c>
    </row>
    <row r="160" spans="1:17">
      <c r="A160" s="2">
        <v>44986</v>
      </c>
      <c r="B160" s="6">
        <v>5.3165757709677424</v>
      </c>
      <c r="C160" s="6">
        <v>5.3165757709677424</v>
      </c>
      <c r="D160" s="6">
        <v>5.3165757709677424</v>
      </c>
      <c r="E160" s="3">
        <v>0.5068453238709677</v>
      </c>
      <c r="F160" s="4">
        <v>30379.72321</v>
      </c>
      <c r="G160" s="4">
        <v>1935.0822858999998</v>
      </c>
      <c r="H160" s="4">
        <v>2961.1289546703038</v>
      </c>
      <c r="I160" s="4">
        <v>154.64573052755068</v>
      </c>
      <c r="J160" s="4">
        <v>2133.4199137481851</v>
      </c>
      <c r="K160" s="4">
        <v>135.89139978459468</v>
      </c>
      <c r="L160" s="4">
        <v>1339.0306509396087</v>
      </c>
      <c r="M160" s="5">
        <v>26.097457192545388</v>
      </c>
      <c r="N160" s="5">
        <v>91.299094570000022</v>
      </c>
      <c r="O160" s="5">
        <v>23.909118793999998</v>
      </c>
      <c r="P160" s="5">
        <v>-0.56709676322580627</v>
      </c>
      <c r="Q160" s="5">
        <v>0.73488983880816128</v>
      </c>
    </row>
    <row r="161" spans="1:17">
      <c r="A161" s="2">
        <v>45017</v>
      </c>
      <c r="B161" s="6">
        <v>3.3115134933333326</v>
      </c>
      <c r="C161" s="6">
        <v>3.3115134933333326</v>
      </c>
      <c r="D161" s="6">
        <v>3.3115134933333326</v>
      </c>
      <c r="E161" s="3">
        <v>0.24437452943333332</v>
      </c>
      <c r="F161" s="4">
        <v>15414.576579999999</v>
      </c>
      <c r="G161" s="4">
        <v>776.97891089999996</v>
      </c>
      <c r="H161" s="4">
        <v>1258.6591659346075</v>
      </c>
      <c r="I161" s="5">
        <v>59.684145620563228</v>
      </c>
      <c r="J161" s="4">
        <v>1795.8499946959855</v>
      </c>
      <c r="K161" s="5">
        <v>90.52065702506016</v>
      </c>
      <c r="L161" s="4">
        <v>1027.6873380415971</v>
      </c>
      <c r="M161" s="5">
        <v>20.352032829310186</v>
      </c>
      <c r="N161" s="5">
        <v>18.788062135000004</v>
      </c>
      <c r="O161" s="5">
        <v>24.65865372</v>
      </c>
      <c r="P161" s="5">
        <v>4.5476666763333347</v>
      </c>
      <c r="Q161" s="5">
        <v>4.5649186517999993</v>
      </c>
    </row>
    <row r="162" spans="1:17">
      <c r="A162" s="2">
        <v>45047</v>
      </c>
      <c r="B162" s="3">
        <v>0.86699118870967784</v>
      </c>
      <c r="C162" s="3">
        <v>0.86699118870967784</v>
      </c>
      <c r="D162" s="3">
        <v>0.86699118870967784</v>
      </c>
      <c r="E162" s="3">
        <v>4.5475175161290335E-2</v>
      </c>
      <c r="F162" s="4">
        <v>2861.9830290000009</v>
      </c>
      <c r="G162" s="5">
        <v>65.784791310000017</v>
      </c>
      <c r="H162" s="4">
        <v>173.94733648493232</v>
      </c>
      <c r="I162" s="6">
        <v>6.7458100093980535</v>
      </c>
      <c r="J162" s="4">
        <v>1232.471566663688</v>
      </c>
      <c r="K162" s="5">
        <v>28.329268577512082</v>
      </c>
      <c r="L162" s="4">
        <v>490.01431884047162</v>
      </c>
      <c r="M162" s="5">
        <v>10.837428484501672</v>
      </c>
      <c r="N162" s="5">
        <v>27.735462138000003</v>
      </c>
      <c r="O162" s="5">
        <v>53.542146119999998</v>
      </c>
      <c r="P162" s="5">
        <v>11.210967745161286</v>
      </c>
      <c r="Q162" s="5">
        <v>11.684522954838711</v>
      </c>
    </row>
    <row r="163" spans="1:17">
      <c r="A163" s="2">
        <v>45078</v>
      </c>
      <c r="B163" s="3">
        <v>0.23638776766666664</v>
      </c>
      <c r="C163" s="3">
        <v>0.23638776766666664</v>
      </c>
      <c r="D163" s="3">
        <v>0.23638776766666664</v>
      </c>
      <c r="E163" s="3">
        <v>1.2047157383333337E-2</v>
      </c>
      <c r="F163" s="4">
        <v>700.56907999999987</v>
      </c>
      <c r="G163" s="5">
        <v>10.639960659999996</v>
      </c>
      <c r="H163" s="5">
        <v>41.988081026930473</v>
      </c>
      <c r="I163" s="6">
        <v>1.9957288173633263</v>
      </c>
      <c r="J163" s="4">
        <v>1143.3809463210166</v>
      </c>
      <c r="K163" s="5">
        <v>17.365208299061003</v>
      </c>
      <c r="L163" s="4">
        <v>400.33679569682806</v>
      </c>
      <c r="M163" s="6">
        <v>8.4356310851842959</v>
      </c>
      <c r="N163" s="5">
        <v>13.41616846</v>
      </c>
      <c r="O163" s="5">
        <v>43.371298399999993</v>
      </c>
      <c r="P163" s="5">
        <v>17.016000080000001</v>
      </c>
      <c r="Q163" s="5">
        <v>17.296451433333335</v>
      </c>
    </row>
    <row r="164" spans="1:17">
      <c r="A164" s="2">
        <v>45108</v>
      </c>
      <c r="B164" s="3">
        <v>0.36445620129032247</v>
      </c>
      <c r="C164" s="3">
        <v>0.36445620129032247</v>
      </c>
      <c r="D164" s="3">
        <v>0.36445620129032247</v>
      </c>
      <c r="E164" s="3">
        <v>3.1951614922580647E-2</v>
      </c>
      <c r="F164" s="4">
        <v>1128.3810249999999</v>
      </c>
      <c r="G164" s="5">
        <v>25.008357759999999</v>
      </c>
      <c r="H164" s="4">
        <v>112.79920993448962</v>
      </c>
      <c r="I164" s="6">
        <v>6.8570451847450737</v>
      </c>
      <c r="J164" s="4">
        <v>1155.9391498187049</v>
      </c>
      <c r="K164" s="5">
        <v>25.619129861706941</v>
      </c>
      <c r="L164" s="4">
        <v>436.11959259384651</v>
      </c>
      <c r="M164" s="5">
        <v>13.438336494880565</v>
      </c>
      <c r="N164" s="4">
        <v>118.449326058</v>
      </c>
      <c r="O164" s="5">
        <v>83.520080099999987</v>
      </c>
      <c r="P164" s="5">
        <v>16.470322483870966</v>
      </c>
      <c r="Q164" s="5">
        <v>16.945580258064513</v>
      </c>
    </row>
    <row r="165" spans="1:17">
      <c r="A165" s="2">
        <v>45139</v>
      </c>
      <c r="B165" s="6">
        <v>1.5654082190322578</v>
      </c>
      <c r="C165" s="6">
        <v>1.5654082190322578</v>
      </c>
      <c r="D165" s="6">
        <v>1.5654082190322578</v>
      </c>
      <c r="E165" s="3">
        <v>0.15940683458064517</v>
      </c>
      <c r="F165" s="4">
        <v>4427.738206</v>
      </c>
      <c r="G165" s="4">
        <v>158.18740036</v>
      </c>
      <c r="H165" s="4">
        <v>474.52646811739925</v>
      </c>
      <c r="I165" s="5">
        <v>20.423920194417107</v>
      </c>
      <c r="J165" s="4">
        <v>1056.0363301465084</v>
      </c>
      <c r="K165" s="5">
        <v>37.728436719702543</v>
      </c>
      <c r="L165" s="4">
        <v>272.03820949554949</v>
      </c>
      <c r="M165" s="6">
        <v>8.8248215081513948</v>
      </c>
      <c r="N165" s="4">
        <v>119.71355883500003</v>
      </c>
      <c r="O165" s="5">
        <v>89.667906600000009</v>
      </c>
      <c r="P165" s="5">
        <v>15.900000129032263</v>
      </c>
      <c r="Q165" s="5">
        <v>15.969649903225807</v>
      </c>
    </row>
    <row r="166" spans="1:17">
      <c r="A166" s="2">
        <v>45170</v>
      </c>
      <c r="B166" s="3">
        <v>0.390307287</v>
      </c>
      <c r="C166" s="3">
        <v>0.390307287</v>
      </c>
      <c r="D166" s="3">
        <v>0.390307287</v>
      </c>
      <c r="E166" s="3">
        <v>2.8443297399999998E-2</v>
      </c>
      <c r="F166" s="4">
        <v>1021.6843379999998</v>
      </c>
      <c r="G166" s="5">
        <v>19.106148139999995</v>
      </c>
      <c r="H166" s="5">
        <v>90.004920014476795</v>
      </c>
      <c r="I166" s="6">
        <v>4.4182556305847989</v>
      </c>
      <c r="J166" s="4">
        <v>1009.8922949876522</v>
      </c>
      <c r="K166" s="5">
        <v>18.885629305934678</v>
      </c>
      <c r="L166" s="4">
        <v>256.227665938163</v>
      </c>
      <c r="M166" s="6">
        <v>8.701748704934829</v>
      </c>
      <c r="N166" s="5">
        <v>36.293710500000003</v>
      </c>
      <c r="O166" s="5">
        <v>51.123693629999998</v>
      </c>
      <c r="P166" s="5">
        <v>14.499999933333335</v>
      </c>
      <c r="Q166" s="5">
        <v>13.921808166666668</v>
      </c>
    </row>
    <row r="167" spans="1:17">
      <c r="A167" s="2">
        <v>45200</v>
      </c>
      <c r="B167" s="3">
        <v>0.45424854806451614</v>
      </c>
      <c r="C167" s="3">
        <v>0.45424854806451614</v>
      </c>
      <c r="D167" s="3">
        <v>0.45424854806451614</v>
      </c>
      <c r="E167" s="3">
        <v>5.364163786774194E-2</v>
      </c>
      <c r="F167" s="4">
        <v>1214.2691670000002</v>
      </c>
      <c r="G167" s="5">
        <v>29.011913790000001</v>
      </c>
      <c r="H167" s="4">
        <v>167.6607368624199</v>
      </c>
      <c r="I167" s="6">
        <v>8.6763282509684831</v>
      </c>
      <c r="J167" s="4">
        <v>998.0354250413676</v>
      </c>
      <c r="K167" s="5">
        <v>23.845551861145761</v>
      </c>
      <c r="L167" s="4">
        <v>311.49795100860212</v>
      </c>
      <c r="M167" s="5">
        <v>13.374895779430432</v>
      </c>
      <c r="N167" s="5">
        <v>86.074531740300003</v>
      </c>
      <c r="O167" s="5">
        <v>34.235448495999997</v>
      </c>
      <c r="P167" s="5">
        <v>5.7570967677419356</v>
      </c>
      <c r="Q167" s="5">
        <v>5.453194880645162</v>
      </c>
    </row>
    <row r="168" spans="1:17">
      <c r="A168" s="2">
        <v>45231</v>
      </c>
      <c r="B168" s="6">
        <v>4.8908075933333341</v>
      </c>
      <c r="C168" s="6">
        <v>4.8908075933333341</v>
      </c>
      <c r="D168" s="6">
        <v>4.8908075933333341</v>
      </c>
      <c r="E168" s="3">
        <v>0.47401500933333335</v>
      </c>
      <c r="F168" s="4">
        <v>25220.666599999997</v>
      </c>
      <c r="G168" s="4">
        <v>1813.3651339999999</v>
      </c>
      <c r="H168" s="4">
        <v>2567.4712495189888</v>
      </c>
      <c r="I168" s="4">
        <v>149.81288039187558</v>
      </c>
      <c r="J168" s="4">
        <v>1989.4863939047839</v>
      </c>
      <c r="K168" s="4">
        <v>143.04400836615702</v>
      </c>
      <c r="L168" s="4">
        <v>1154.8863061722395</v>
      </c>
      <c r="M168" s="5">
        <v>25.697863514703734</v>
      </c>
      <c r="N168" s="5">
        <v>93.032078368000001</v>
      </c>
      <c r="O168" s="5">
        <v>25.298979605999993</v>
      </c>
      <c r="P168" s="5">
        <v>0.87599998899999987</v>
      </c>
      <c r="Q168" s="5">
        <v>2.1711397662772196</v>
      </c>
    </row>
    <row r="169" spans="1:17">
      <c r="A169" s="2">
        <v>45261</v>
      </c>
      <c r="B169" s="6">
        <v>4.0157498903225797</v>
      </c>
      <c r="C169" s="6">
        <v>4.0157498903225797</v>
      </c>
      <c r="D169" s="6">
        <v>4.0157498903225797</v>
      </c>
      <c r="E169" s="3">
        <v>0.38822450632258065</v>
      </c>
      <c r="F169" s="4">
        <v>23139.03283</v>
      </c>
      <c r="G169" s="4">
        <v>1477.7982932</v>
      </c>
      <c r="H169" s="4">
        <v>2396.7707381435789</v>
      </c>
      <c r="I169" s="4">
        <v>129.38741486087162</v>
      </c>
      <c r="J169" s="4">
        <v>2151.3104163542257</v>
      </c>
      <c r="K169" s="4">
        <v>137.39566564983707</v>
      </c>
      <c r="L169" s="4">
        <v>1353.1818495386913</v>
      </c>
      <c r="M169" s="5">
        <v>27.559228953048166</v>
      </c>
      <c r="N169" s="5">
        <v>69.976404470299997</v>
      </c>
      <c r="O169" s="5">
        <v>15.4821898364</v>
      </c>
      <c r="P169" s="5">
        <v>-3.0100000164516123</v>
      </c>
      <c r="Q169" s="5">
        <v>0.20858734763870967</v>
      </c>
    </row>
    <row r="170" spans="1:17">
      <c r="A170" s="2">
        <v>45292</v>
      </c>
      <c r="B170" s="6">
        <v>3.7714483322580641</v>
      </c>
      <c r="C170" s="6">
        <v>3.7714483322580641</v>
      </c>
      <c r="D170" s="6">
        <v>3.7714483322580641</v>
      </c>
      <c r="E170" s="3">
        <v>0.34770499812903227</v>
      </c>
      <c r="F170" s="4">
        <v>20890.1541</v>
      </c>
      <c r="G170" s="4">
        <v>1253.0617586999999</v>
      </c>
      <c r="H170" s="4">
        <v>2083.1269182292149</v>
      </c>
      <c r="I170" s="4">
        <v>110.62329846342661</v>
      </c>
      <c r="J170" s="4">
        <v>2068.0356274668743</v>
      </c>
      <c r="K170" s="4">
        <v>124.04774036130701</v>
      </c>
      <c r="L170" s="4">
        <v>1290.0468169890971</v>
      </c>
      <c r="M170" s="5">
        <v>25.890947098381659</v>
      </c>
      <c r="N170" s="5">
        <v>46.480324028300004</v>
      </c>
      <c r="O170" s="5">
        <v>11.2704171106</v>
      </c>
      <c r="P170" s="5">
        <v>-4.0899999883870954</v>
      </c>
      <c r="Q170" s="5">
        <v>0.24365382129354837</v>
      </c>
    </row>
    <row r="171" spans="1:17">
      <c r="A171" s="2">
        <v>45323</v>
      </c>
      <c r="B171" s="6">
        <v>8.4456429517241371</v>
      </c>
      <c r="C171" s="6">
        <v>8.4456429517241371</v>
      </c>
      <c r="D171" s="6">
        <v>8.4456429517241371</v>
      </c>
      <c r="E171" s="3">
        <v>0.77433540034482795</v>
      </c>
      <c r="F171" s="4">
        <v>43750.470110000002</v>
      </c>
      <c r="G171" s="4">
        <v>2607.5491510000002</v>
      </c>
      <c r="H171" s="4">
        <v>3727.1872068098528</v>
      </c>
      <c r="I171" s="4">
        <v>182.67316399635078</v>
      </c>
      <c r="J171" s="4">
        <v>2067.465390237574</v>
      </c>
      <c r="K171" s="4">
        <v>123.22193638521601</v>
      </c>
      <c r="L171" s="4">
        <v>1335.553562087651</v>
      </c>
      <c r="M171" s="5">
        <v>26.215919101756441</v>
      </c>
      <c r="N171" s="5">
        <v>67.146070796999979</v>
      </c>
      <c r="O171" s="5">
        <v>16.825971590500004</v>
      </c>
      <c r="P171" s="5">
        <v>-0.68172412620689615</v>
      </c>
      <c r="Q171" s="5">
        <v>0.6405415504586206</v>
      </c>
    </row>
    <row r="172" spans="1:17">
      <c r="A172" s="2">
        <v>45352</v>
      </c>
      <c r="B172" s="6">
        <v>3.843430929032257</v>
      </c>
      <c r="C172" s="6">
        <v>3.843430929032257</v>
      </c>
      <c r="D172" s="6">
        <v>3.843430929032257</v>
      </c>
      <c r="E172" s="3">
        <v>0.2465518361290322</v>
      </c>
      <c r="F172" s="4">
        <v>13590.098820000003</v>
      </c>
      <c r="G172" s="4">
        <v>484.67301180000004</v>
      </c>
      <c r="H172" s="4">
        <v>979.722522476319</v>
      </c>
      <c r="I172" s="5">
        <v>40.269221136187767</v>
      </c>
      <c r="J172" s="4">
        <v>1320.1645934145806</v>
      </c>
      <c r="K172" s="5">
        <v>47.081934944806079</v>
      </c>
      <c r="L172" s="4">
        <v>634.3752207780957</v>
      </c>
      <c r="M172" s="5">
        <v>12.226241662888553</v>
      </c>
      <c r="N172" s="5">
        <v>25.530220186000005</v>
      </c>
      <c r="O172" s="5">
        <v>14.375882542799999</v>
      </c>
      <c r="P172" s="5">
        <v>1.8735483838387095</v>
      </c>
      <c r="Q172" s="5">
        <v>1.941508001548387</v>
      </c>
    </row>
    <row r="173" spans="1:17">
      <c r="A173" s="2">
        <v>45383</v>
      </c>
      <c r="B173" s="6">
        <v>2.6759534766666664</v>
      </c>
      <c r="C173" s="6">
        <v>2.6759534766666664</v>
      </c>
      <c r="D173" s="6">
        <v>2.6759534766666664</v>
      </c>
      <c r="E173" s="3">
        <v>0.21982478113333329</v>
      </c>
      <c r="F173" s="4">
        <v>11465.840229999998</v>
      </c>
      <c r="G173" s="4">
        <v>477.66528560000006</v>
      </c>
      <c r="H173" s="4">
        <v>1027.5446564348836</v>
      </c>
      <c r="I173" s="5">
        <v>53.862397302238662</v>
      </c>
      <c r="J173" s="4">
        <v>1653.0740285972176</v>
      </c>
      <c r="K173" s="5">
        <v>68.86683107879</v>
      </c>
      <c r="L173" s="4">
        <v>982.94217613773696</v>
      </c>
      <c r="M173" s="5">
        <v>19.679256679211697</v>
      </c>
      <c r="N173" s="5">
        <v>52.140578163900003</v>
      </c>
      <c r="O173" s="5">
        <v>29.956153512399993</v>
      </c>
      <c r="P173" s="5">
        <v>4.198000010366667</v>
      </c>
      <c r="Q173" s="5">
        <v>4.7548079800000007</v>
      </c>
    </row>
    <row r="174" spans="1:17">
      <c r="A174" s="2">
        <v>45413</v>
      </c>
      <c r="B174" s="3">
        <v>0.93282477290322563</v>
      </c>
      <c r="C174" s="3">
        <v>0.93282477290322563</v>
      </c>
      <c r="D174" s="3">
        <v>0.93282477290322563</v>
      </c>
      <c r="E174" s="3">
        <v>4.9838780161290341E-2</v>
      </c>
      <c r="F174" s="4">
        <v>3511.587884999999</v>
      </c>
      <c r="G174" s="4">
        <v>107.29659134000001</v>
      </c>
      <c r="H174" s="4">
        <v>202.40520537463817</v>
      </c>
      <c r="I174" s="6">
        <v>8.9272683267583126</v>
      </c>
      <c r="J174" s="4">
        <v>1405.4908137743071</v>
      </c>
      <c r="K174" s="5">
        <v>42.944781459671788</v>
      </c>
      <c r="L174" s="4">
        <v>741.53570206971494</v>
      </c>
      <c r="M174" s="5">
        <v>15.591713279623074</v>
      </c>
      <c r="N174" s="5">
        <v>20.06545874</v>
      </c>
      <c r="O174" s="5">
        <v>58.542496099999994</v>
      </c>
      <c r="P174" s="5">
        <v>13.477742006451614</v>
      </c>
      <c r="Q174" s="5">
        <v>13.656270480645162</v>
      </c>
    </row>
    <row r="175" spans="1:17">
      <c r="A175" s="2">
        <v>45444</v>
      </c>
      <c r="B175" s="3">
        <v>0.32412722600000005</v>
      </c>
      <c r="C175" s="3">
        <v>0.32412722600000005</v>
      </c>
      <c r="D175" s="3">
        <v>0.32412722600000005</v>
      </c>
      <c r="E175" s="3">
        <v>1.9527040823333331E-2</v>
      </c>
      <c r="F175" s="4">
        <v>986.06342499999994</v>
      </c>
      <c r="G175" s="5">
        <v>15.686706640000004</v>
      </c>
      <c r="H175" s="5">
        <v>70.509962470003572</v>
      </c>
      <c r="I175" s="6">
        <v>3.4149731129912477</v>
      </c>
      <c r="J175" s="4">
        <v>1173.6924373196232</v>
      </c>
      <c r="K175" s="5">
        <v>18.671587120073731</v>
      </c>
      <c r="L175" s="4">
        <v>455.8337339130893</v>
      </c>
      <c r="M175" s="6">
        <v>9.1842786835157533</v>
      </c>
      <c r="N175" s="5">
        <v>74.177076936999995</v>
      </c>
      <c r="O175" s="5">
        <v>69.468635599999999</v>
      </c>
      <c r="P175" s="5">
        <v>16.145333500000003</v>
      </c>
      <c r="Q175" s="5">
        <v>16.680401466666673</v>
      </c>
    </row>
    <row r="176" spans="1:17">
      <c r="A176" s="2">
        <v>45474</v>
      </c>
      <c r="B176" s="3">
        <v>0.30043637516129035</v>
      </c>
      <c r="C176" s="3">
        <v>0.30043637516129035</v>
      </c>
      <c r="D176" s="3">
        <v>0.30043637516129035</v>
      </c>
      <c r="E176" s="3">
        <v>2.2763620129032266E-2</v>
      </c>
      <c r="F176" s="4">
        <v>899.43069500000013</v>
      </c>
      <c r="G176" s="5">
        <v>17.284929260000006</v>
      </c>
      <c r="H176" s="5">
        <v>74.497845249577836</v>
      </c>
      <c r="I176" s="6">
        <v>4.1434304490016531</v>
      </c>
      <c r="J176" s="4">
        <v>1117.7372491852313</v>
      </c>
      <c r="K176" s="5">
        <v>21.480264850096951</v>
      </c>
      <c r="L176" s="4">
        <v>437.28420387172616</v>
      </c>
      <c r="M176" s="5">
        <v>13.005324332222113</v>
      </c>
      <c r="N176" s="5">
        <v>66.325063529999994</v>
      </c>
      <c r="O176" s="5">
        <v>78.340296100000003</v>
      </c>
      <c r="P176" s="5">
        <v>17.557741903225807</v>
      </c>
      <c r="Q176" s="5">
        <v>17.811788774193552</v>
      </c>
    </row>
    <row r="177" spans="1:17">
      <c r="A177" s="2">
        <v>45505</v>
      </c>
      <c r="B177" s="3">
        <v>8.3872063838709682E-2</v>
      </c>
      <c r="C177" s="3">
        <v>8.3872063838709682E-2</v>
      </c>
      <c r="D177" s="3">
        <v>8.3872063838709682E-2</v>
      </c>
      <c r="E177" s="3">
        <v>7.1789589838709682E-3</v>
      </c>
      <c r="F177" s="4">
        <v>237.35475830000001</v>
      </c>
      <c r="G177" s="6">
        <v>4.0859945289999997</v>
      </c>
      <c r="H177" s="5">
        <v>20.319481828603717</v>
      </c>
      <c r="I177" s="6">
        <v>1.4442749068636827</v>
      </c>
      <c r="J177" s="4">
        <v>1056.5867119528557</v>
      </c>
      <c r="K177" s="5">
        <v>18.1888395647998</v>
      </c>
      <c r="L177" s="4">
        <v>334.70600312915917</v>
      </c>
      <c r="M177" s="5">
        <v>13.708170791665303</v>
      </c>
      <c r="N177" s="5">
        <v>22.408894799000002</v>
      </c>
      <c r="O177" s="5">
        <v>44.774546670000007</v>
      </c>
      <c r="P177" s="5">
        <v>17.395806580645161</v>
      </c>
      <c r="Q177" s="5">
        <v>17.185661096774194</v>
      </c>
    </row>
    <row r="178" spans="1:17">
      <c r="A178" s="2">
        <v>45536</v>
      </c>
      <c r="B178" s="3">
        <v>0.28104405176666669</v>
      </c>
      <c r="C178" s="3">
        <v>0.28104405176666669</v>
      </c>
      <c r="D178" s="3">
        <v>0.28104405176666669</v>
      </c>
      <c r="E178" s="3">
        <v>3.2477269966666666E-2</v>
      </c>
      <c r="F178" s="4">
        <v>738.21125560000019</v>
      </c>
      <c r="G178" s="5">
        <v>21.4499812</v>
      </c>
      <c r="H178" s="5">
        <v>97.708391068753571</v>
      </c>
      <c r="I178" s="6">
        <v>6.8023076590219418</v>
      </c>
      <c r="J178" s="4">
        <v>1013.377492730026</v>
      </c>
      <c r="K178" s="5">
        <v>29.44540351128197</v>
      </c>
      <c r="L178" s="4">
        <v>400.41734965645935</v>
      </c>
      <c r="M178" s="5">
        <v>22.336001202111582</v>
      </c>
      <c r="N178" s="5">
        <v>84.422175470900001</v>
      </c>
      <c r="O178" s="5">
        <v>49.127181889999996</v>
      </c>
      <c r="P178" s="5">
        <v>13.254666736666669</v>
      </c>
      <c r="Q178" s="5">
        <v>12.897035353333333</v>
      </c>
    </row>
    <row r="179" spans="1:17">
      <c r="A179" s="2">
        <v>45566</v>
      </c>
      <c r="B179" s="6">
        <v>1.4058433119354838</v>
      </c>
      <c r="C179" s="6">
        <v>1.4058433119354838</v>
      </c>
      <c r="D179" s="6">
        <v>1.4058433119354838</v>
      </c>
      <c r="E179" s="3">
        <v>0.16749657835483875</v>
      </c>
      <c r="F179" s="4">
        <v>4368.0405980000005</v>
      </c>
      <c r="G179" s="4">
        <v>228.70744019</v>
      </c>
      <c r="H179" s="4">
        <v>549.8325350963612</v>
      </c>
      <c r="I179" s="5">
        <v>36.555850805915014</v>
      </c>
      <c r="J179" s="4">
        <v>1160.0435667890199</v>
      </c>
      <c r="K179" s="5">
        <v>60.739040721161331</v>
      </c>
      <c r="L179" s="4">
        <v>395.04499980839887</v>
      </c>
      <c r="M179" s="5">
        <v>13.467403439951452</v>
      </c>
      <c r="N179" s="5">
        <v>79.548368094999987</v>
      </c>
      <c r="O179" s="5">
        <v>41.396382249999995</v>
      </c>
      <c r="P179" s="5">
        <v>8.5925806387096788</v>
      </c>
      <c r="Q179" s="5">
        <v>7.9336731161290324</v>
      </c>
    </row>
    <row r="180" spans="1:17">
      <c r="A180" s="2">
        <v>45597</v>
      </c>
      <c r="B180" s="3">
        <v>0.62667202799999999</v>
      </c>
      <c r="C180" s="3">
        <v>0.62667202799999999</v>
      </c>
      <c r="D180" s="3">
        <v>0.62667202799999999</v>
      </c>
      <c r="E180" s="3">
        <v>5.5172200099999999E-2</v>
      </c>
      <c r="F180" s="4">
        <v>1760.403513</v>
      </c>
      <c r="G180" s="5">
        <v>37.423730259999999</v>
      </c>
      <c r="H180" s="4">
        <v>186.4232430202031</v>
      </c>
      <c r="I180" s="6">
        <v>7.4722384179793906</v>
      </c>
      <c r="J180" s="4">
        <v>1083.7694017037354</v>
      </c>
      <c r="K180" s="5">
        <v>23.039430424998599</v>
      </c>
      <c r="L180" s="4">
        <v>401.4385836919148</v>
      </c>
      <c r="M180" s="5">
        <v>12.9216884707382</v>
      </c>
      <c r="N180" s="5">
        <v>36.477627389999988</v>
      </c>
      <c r="O180" s="5">
        <v>16.850168073000003</v>
      </c>
      <c r="P180" s="5">
        <v>2.8619999976666661</v>
      </c>
      <c r="Q180" s="5">
        <v>2.6753456157273332</v>
      </c>
    </row>
    <row r="181" spans="1:17">
      <c r="A181" s="2">
        <v>45627</v>
      </c>
      <c r="B181" s="6">
        <v>2.4747325161290323</v>
      </c>
      <c r="C181" s="6">
        <v>2.4747325161290323</v>
      </c>
      <c r="D181" s="6">
        <v>2.4747325161290323</v>
      </c>
      <c r="E181" s="3">
        <v>0.25989422203225809</v>
      </c>
      <c r="F181" s="4">
        <v>11119.788110000001</v>
      </c>
      <c r="G181" s="4">
        <v>454.49679169999996</v>
      </c>
      <c r="H181" s="4">
        <v>1269.78951342358</v>
      </c>
      <c r="I181" s="5">
        <v>60.350832166878035</v>
      </c>
      <c r="J181" s="4">
        <v>1677.6169065307313</v>
      </c>
      <c r="K181" s="5">
        <v>68.568887343987015</v>
      </c>
      <c r="L181" s="4">
        <v>931.23390992515556</v>
      </c>
      <c r="M181" s="5">
        <v>20.433879379951655</v>
      </c>
      <c r="N181" s="5">
        <v>63.094891140000001</v>
      </c>
      <c r="O181" s="5">
        <v>17.930877072800001</v>
      </c>
      <c r="P181" s="5">
        <v>0.90064516806451622</v>
      </c>
      <c r="Q181" s="5">
        <v>1.0101976231161292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Norlander</dc:creator>
  <cp:lastModifiedBy>Mathias Landström</cp:lastModifiedBy>
  <dcterms:created xsi:type="dcterms:W3CDTF">2026-04-27T13:05:39Z</dcterms:created>
  <dcterms:modified xsi:type="dcterms:W3CDTF">2026-05-11T10:01:39Z</dcterms:modified>
</cp:coreProperties>
</file>