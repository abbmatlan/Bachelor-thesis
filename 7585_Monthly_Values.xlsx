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h-my.sharepoint.com/personal/mlandst_ug_kth_se/Documents/KEX_MSA_renewables/Python/Excel_Areas/"/>
    </mc:Choice>
  </mc:AlternateContent>
  <xr:revisionPtr revIDLastSave="5" documentId="8_{42B4B55D-CF52-0247-9E1F-8B1629B6A8A3}" xr6:coauthVersionLast="47" xr6:coauthVersionMax="47" xr10:uidLastSave="{36F4D4E5-6C89-4D59-B364-CA8EC95EB46C}"/>
  <bookViews>
    <workbookView xWindow="-110" yWindow="-110" windowWidth="19420" windowHeight="10420" xr2:uid="{03224A5E-D28A-EC49-94EA-1DDAAC65C8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</calcChain>
</file>

<file path=xl/sharedStrings.xml><?xml version="1.0" encoding="utf-8"?>
<sst xmlns="http://schemas.openxmlformats.org/spreadsheetml/2006/main" count="18" uniqueCount="18">
  <si>
    <t>Total vattenföring [m³/s]</t>
  </si>
  <si>
    <t>Total stationskorrigerad vattenföring [m³/s]</t>
  </si>
  <si>
    <t>Total naturlig vattenföring [m³/s]</t>
  </si>
  <si>
    <t>Lokal vattenföring [m³/s]</t>
  </si>
  <si>
    <t>Total kvävetransport [kg]</t>
  </si>
  <si>
    <t>Total fosfortransport [kg]</t>
  </si>
  <si>
    <t>Lokal kvävetransport [kg]</t>
  </si>
  <si>
    <t>Lokal fosfortransport [kg]</t>
  </si>
  <si>
    <t>Total kvävekoncentration [ug/l]</t>
  </si>
  <si>
    <t>Total fosforkoncentration [ug/l]</t>
  </si>
  <si>
    <t>Total koncentration av oorganiskt kväve [ug/l]</t>
  </si>
  <si>
    <t>Total koncentration av löst reaktivt fosfor [ug/l]</t>
  </si>
  <si>
    <t>Lokal nederbörd [mm]</t>
  </si>
  <si>
    <t>Lokal evapotranspiration [mm]</t>
  </si>
  <si>
    <t>Lokal luftemperatur [°C]</t>
  </si>
  <si>
    <t>Temperatur Vattendrag [°C]</t>
  </si>
  <si>
    <t>Senare värden finns i fliken "Dygnsuppdaterade värden"</t>
  </si>
  <si>
    <t>Total andel oorganiskt kväve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</si>
</sst>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"/>
    <numFmt numFmtId="165" formatCode="#0.000"/>
    <numFmt numFmtId="166" formatCode="#0.0"/>
    <numFmt numFmtId="167" formatCode="#0.00"/>
  </numFmts>
  <fonts count="3">
    <font>
      <sz val="12"/>
      <color theme="1"/>
      <name val="Aptos Narrow"/>
      <family val="2"/>
      <scheme val="minor"/>
    </font>
    <font>
      <b/>
      <sz val="10"/>
      <name val="Liberation Sans"/>
    </font>
    <font>
      <sz val="10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164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" fontId="2" fillId="0" borderId="0" xfId="0" applyNumberFormat="1" applyFont="1" applyAlignment="1">
      <alignment vertical="top"/>
    </xf>
    <xf numFmtId="166" fontId="2" fillId="0" borderId="0" xfId="0" applyNumberFormat="1" applyFont="1" applyAlignment="1">
      <alignment vertical="top"/>
    </xf>
    <xf numFmtId="167" fontId="2" fillId="0" borderId="0" xfId="0" applyNumberFormat="1" applyFont="1" applyAlignment="1">
      <alignment vertical="top"/>
    </xf>
    <xf numFmtId="0" fontId="0" fillId="0" borderId="0" xfId="0"/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8E25-BC52-CD44-93DC-9F485B62BC79}">
  <dimension ref="A1:S186"/>
  <sheetViews>
    <sheetView tabSelected="1" workbookViewId="0">
      <selection activeCell="A3" sqref="A3"/>
    </sheetView>
  </sheetViews>
  <sheetFormatPr defaultColWidth="10.6640625" defaultRowHeight="16"/>
  <cols>
    <col min="1" max="1" width="6.6640625" customWidth="1"/>
    <col min="2" max="2" width="11.6640625" customWidth="1"/>
    <col min="3" max="3" width="16.6640625" customWidth="1"/>
    <col min="4" max="5" width="11.6640625" customWidth="1"/>
    <col min="6" max="6" width="13.33203125" customWidth="1"/>
    <col min="7" max="7" width="14.1640625" customWidth="1"/>
    <col min="8" max="8" width="13.33203125" customWidth="1"/>
    <col min="9" max="9" width="14.1640625" customWidth="1"/>
    <col min="10" max="10" width="16.6640625" customWidth="1"/>
    <col min="11" max="11" width="17.5" customWidth="1"/>
    <col min="12" max="13" width="12.5" customWidth="1"/>
    <col min="14" max="14" width="9.1640625" customWidth="1"/>
    <col min="15" max="15" width="16.6640625" customWidth="1"/>
    <col min="16" max="16" width="12.5" customWidth="1"/>
    <col min="17" max="17" width="10" customWidth="1"/>
    <col min="18" max="256" width="7.5" customWidth="1"/>
    <col min="257" max="257" width="6.6640625" customWidth="1"/>
    <col min="258" max="258" width="11.6640625" customWidth="1"/>
    <col min="259" max="259" width="16.6640625" customWidth="1"/>
    <col min="260" max="261" width="11.6640625" customWidth="1"/>
    <col min="262" max="262" width="13.33203125" customWidth="1"/>
    <col min="263" max="263" width="14.1640625" customWidth="1"/>
    <col min="264" max="264" width="13.33203125" customWidth="1"/>
    <col min="265" max="265" width="14.1640625" customWidth="1"/>
    <col min="266" max="266" width="16.6640625" customWidth="1"/>
    <col min="267" max="267" width="17.5" customWidth="1"/>
    <col min="268" max="269" width="12.5" customWidth="1"/>
    <col min="270" max="270" width="9.1640625" customWidth="1"/>
    <col min="271" max="271" width="16.6640625" customWidth="1"/>
    <col min="272" max="272" width="12.5" customWidth="1"/>
    <col min="273" max="273" width="10" customWidth="1"/>
    <col min="274" max="512" width="7.5" customWidth="1"/>
    <col min="513" max="513" width="6.6640625" customWidth="1"/>
    <col min="514" max="514" width="11.6640625" customWidth="1"/>
    <col min="515" max="515" width="16.6640625" customWidth="1"/>
    <col min="516" max="517" width="11.6640625" customWidth="1"/>
    <col min="518" max="518" width="13.33203125" customWidth="1"/>
    <col min="519" max="519" width="14.1640625" customWidth="1"/>
    <col min="520" max="520" width="13.33203125" customWidth="1"/>
    <col min="521" max="521" width="14.1640625" customWidth="1"/>
    <col min="522" max="522" width="16.6640625" customWidth="1"/>
    <col min="523" max="523" width="17.5" customWidth="1"/>
    <col min="524" max="525" width="12.5" customWidth="1"/>
    <col min="526" max="526" width="9.1640625" customWidth="1"/>
    <col min="527" max="527" width="16.6640625" customWidth="1"/>
    <col min="528" max="528" width="12.5" customWidth="1"/>
    <col min="529" max="529" width="10" customWidth="1"/>
    <col min="530" max="768" width="7.5" customWidth="1"/>
    <col min="769" max="769" width="6.6640625" customWidth="1"/>
    <col min="770" max="770" width="11.6640625" customWidth="1"/>
    <col min="771" max="771" width="16.6640625" customWidth="1"/>
    <col min="772" max="773" width="11.6640625" customWidth="1"/>
    <col min="774" max="774" width="13.33203125" customWidth="1"/>
    <col min="775" max="775" width="14.1640625" customWidth="1"/>
    <col min="776" max="776" width="13.33203125" customWidth="1"/>
    <col min="777" max="777" width="14.1640625" customWidth="1"/>
    <col min="778" max="778" width="16.6640625" customWidth="1"/>
    <col min="779" max="779" width="17.5" customWidth="1"/>
    <col min="780" max="781" width="12.5" customWidth="1"/>
    <col min="782" max="782" width="9.1640625" customWidth="1"/>
    <col min="783" max="783" width="16.6640625" customWidth="1"/>
    <col min="784" max="784" width="12.5" customWidth="1"/>
    <col min="785" max="785" width="10" customWidth="1"/>
    <col min="786" max="1024" width="7.5" customWidth="1"/>
    <col min="1025" max="1025" width="6.6640625" customWidth="1"/>
    <col min="1026" max="1026" width="11.6640625" customWidth="1"/>
    <col min="1027" max="1027" width="16.6640625" customWidth="1"/>
    <col min="1028" max="1029" width="11.6640625" customWidth="1"/>
    <col min="1030" max="1030" width="13.33203125" customWidth="1"/>
    <col min="1031" max="1031" width="14.1640625" customWidth="1"/>
    <col min="1032" max="1032" width="13.33203125" customWidth="1"/>
    <col min="1033" max="1033" width="14.1640625" customWidth="1"/>
    <col min="1034" max="1034" width="16.6640625" customWidth="1"/>
    <col min="1035" max="1035" width="17.5" customWidth="1"/>
    <col min="1036" max="1037" width="12.5" customWidth="1"/>
    <col min="1038" max="1038" width="9.1640625" customWidth="1"/>
    <col min="1039" max="1039" width="16.6640625" customWidth="1"/>
    <col min="1040" max="1040" width="12.5" customWidth="1"/>
    <col min="1041" max="1041" width="10" customWidth="1"/>
    <col min="1042" max="1280" width="7.5" customWidth="1"/>
    <col min="1281" max="1281" width="6.6640625" customWidth="1"/>
    <col min="1282" max="1282" width="11.6640625" customWidth="1"/>
    <col min="1283" max="1283" width="16.6640625" customWidth="1"/>
    <col min="1284" max="1285" width="11.6640625" customWidth="1"/>
    <col min="1286" max="1286" width="13.33203125" customWidth="1"/>
    <col min="1287" max="1287" width="14.1640625" customWidth="1"/>
    <col min="1288" max="1288" width="13.33203125" customWidth="1"/>
    <col min="1289" max="1289" width="14.1640625" customWidth="1"/>
    <col min="1290" max="1290" width="16.6640625" customWidth="1"/>
    <col min="1291" max="1291" width="17.5" customWidth="1"/>
    <col min="1292" max="1293" width="12.5" customWidth="1"/>
    <col min="1294" max="1294" width="9.1640625" customWidth="1"/>
    <col min="1295" max="1295" width="16.6640625" customWidth="1"/>
    <col min="1296" max="1296" width="12.5" customWidth="1"/>
    <col min="1297" max="1297" width="10" customWidth="1"/>
    <col min="1298" max="1536" width="7.5" customWidth="1"/>
    <col min="1537" max="1537" width="6.6640625" customWidth="1"/>
    <col min="1538" max="1538" width="11.6640625" customWidth="1"/>
    <col min="1539" max="1539" width="16.6640625" customWidth="1"/>
    <col min="1540" max="1541" width="11.6640625" customWidth="1"/>
    <col min="1542" max="1542" width="13.33203125" customWidth="1"/>
    <col min="1543" max="1543" width="14.1640625" customWidth="1"/>
    <col min="1544" max="1544" width="13.33203125" customWidth="1"/>
    <col min="1545" max="1545" width="14.1640625" customWidth="1"/>
    <col min="1546" max="1546" width="16.6640625" customWidth="1"/>
    <col min="1547" max="1547" width="17.5" customWidth="1"/>
    <col min="1548" max="1549" width="12.5" customWidth="1"/>
    <col min="1550" max="1550" width="9.1640625" customWidth="1"/>
    <col min="1551" max="1551" width="16.6640625" customWidth="1"/>
    <col min="1552" max="1552" width="12.5" customWidth="1"/>
    <col min="1553" max="1553" width="10" customWidth="1"/>
    <col min="1554" max="1792" width="7.5" customWidth="1"/>
    <col min="1793" max="1793" width="6.6640625" customWidth="1"/>
    <col min="1794" max="1794" width="11.6640625" customWidth="1"/>
    <col min="1795" max="1795" width="16.6640625" customWidth="1"/>
    <col min="1796" max="1797" width="11.6640625" customWidth="1"/>
    <col min="1798" max="1798" width="13.33203125" customWidth="1"/>
    <col min="1799" max="1799" width="14.1640625" customWidth="1"/>
    <col min="1800" max="1800" width="13.33203125" customWidth="1"/>
    <col min="1801" max="1801" width="14.1640625" customWidth="1"/>
    <col min="1802" max="1802" width="16.6640625" customWidth="1"/>
    <col min="1803" max="1803" width="17.5" customWidth="1"/>
    <col min="1804" max="1805" width="12.5" customWidth="1"/>
    <col min="1806" max="1806" width="9.1640625" customWidth="1"/>
    <col min="1807" max="1807" width="16.6640625" customWidth="1"/>
    <col min="1808" max="1808" width="12.5" customWidth="1"/>
    <col min="1809" max="1809" width="10" customWidth="1"/>
    <col min="1810" max="2048" width="7.5" customWidth="1"/>
    <col min="2049" max="2049" width="6.6640625" customWidth="1"/>
    <col min="2050" max="2050" width="11.6640625" customWidth="1"/>
    <col min="2051" max="2051" width="16.6640625" customWidth="1"/>
    <col min="2052" max="2053" width="11.6640625" customWidth="1"/>
    <col min="2054" max="2054" width="13.33203125" customWidth="1"/>
    <col min="2055" max="2055" width="14.1640625" customWidth="1"/>
    <col min="2056" max="2056" width="13.33203125" customWidth="1"/>
    <col min="2057" max="2057" width="14.1640625" customWidth="1"/>
    <col min="2058" max="2058" width="16.6640625" customWidth="1"/>
    <col min="2059" max="2059" width="17.5" customWidth="1"/>
    <col min="2060" max="2061" width="12.5" customWidth="1"/>
    <col min="2062" max="2062" width="9.1640625" customWidth="1"/>
    <col min="2063" max="2063" width="16.6640625" customWidth="1"/>
    <col min="2064" max="2064" width="12.5" customWidth="1"/>
    <col min="2065" max="2065" width="10" customWidth="1"/>
    <col min="2066" max="2304" width="7.5" customWidth="1"/>
    <col min="2305" max="2305" width="6.6640625" customWidth="1"/>
    <col min="2306" max="2306" width="11.6640625" customWidth="1"/>
    <col min="2307" max="2307" width="16.6640625" customWidth="1"/>
    <col min="2308" max="2309" width="11.6640625" customWidth="1"/>
    <col min="2310" max="2310" width="13.33203125" customWidth="1"/>
    <col min="2311" max="2311" width="14.1640625" customWidth="1"/>
    <col min="2312" max="2312" width="13.33203125" customWidth="1"/>
    <col min="2313" max="2313" width="14.1640625" customWidth="1"/>
    <col min="2314" max="2314" width="16.6640625" customWidth="1"/>
    <col min="2315" max="2315" width="17.5" customWidth="1"/>
    <col min="2316" max="2317" width="12.5" customWidth="1"/>
    <col min="2318" max="2318" width="9.1640625" customWidth="1"/>
    <col min="2319" max="2319" width="16.6640625" customWidth="1"/>
    <col min="2320" max="2320" width="12.5" customWidth="1"/>
    <col min="2321" max="2321" width="10" customWidth="1"/>
    <col min="2322" max="2560" width="7.5" customWidth="1"/>
    <col min="2561" max="2561" width="6.6640625" customWidth="1"/>
    <col min="2562" max="2562" width="11.6640625" customWidth="1"/>
    <col min="2563" max="2563" width="16.6640625" customWidth="1"/>
    <col min="2564" max="2565" width="11.6640625" customWidth="1"/>
    <col min="2566" max="2566" width="13.33203125" customWidth="1"/>
    <col min="2567" max="2567" width="14.1640625" customWidth="1"/>
    <col min="2568" max="2568" width="13.33203125" customWidth="1"/>
    <col min="2569" max="2569" width="14.1640625" customWidth="1"/>
    <col min="2570" max="2570" width="16.6640625" customWidth="1"/>
    <col min="2571" max="2571" width="17.5" customWidth="1"/>
    <col min="2572" max="2573" width="12.5" customWidth="1"/>
    <col min="2574" max="2574" width="9.1640625" customWidth="1"/>
    <col min="2575" max="2575" width="16.6640625" customWidth="1"/>
    <col min="2576" max="2576" width="12.5" customWidth="1"/>
    <col min="2577" max="2577" width="10" customWidth="1"/>
    <col min="2578" max="2816" width="7.5" customWidth="1"/>
    <col min="2817" max="2817" width="6.6640625" customWidth="1"/>
    <col min="2818" max="2818" width="11.6640625" customWidth="1"/>
    <col min="2819" max="2819" width="16.6640625" customWidth="1"/>
    <col min="2820" max="2821" width="11.6640625" customWidth="1"/>
    <col min="2822" max="2822" width="13.33203125" customWidth="1"/>
    <col min="2823" max="2823" width="14.1640625" customWidth="1"/>
    <col min="2824" max="2824" width="13.33203125" customWidth="1"/>
    <col min="2825" max="2825" width="14.1640625" customWidth="1"/>
    <col min="2826" max="2826" width="16.6640625" customWidth="1"/>
    <col min="2827" max="2827" width="17.5" customWidth="1"/>
    <col min="2828" max="2829" width="12.5" customWidth="1"/>
    <col min="2830" max="2830" width="9.1640625" customWidth="1"/>
    <col min="2831" max="2831" width="16.6640625" customWidth="1"/>
    <col min="2832" max="2832" width="12.5" customWidth="1"/>
    <col min="2833" max="2833" width="10" customWidth="1"/>
    <col min="2834" max="3072" width="7.5" customWidth="1"/>
    <col min="3073" max="3073" width="6.6640625" customWidth="1"/>
    <col min="3074" max="3074" width="11.6640625" customWidth="1"/>
    <col min="3075" max="3075" width="16.6640625" customWidth="1"/>
    <col min="3076" max="3077" width="11.6640625" customWidth="1"/>
    <col min="3078" max="3078" width="13.33203125" customWidth="1"/>
    <col min="3079" max="3079" width="14.1640625" customWidth="1"/>
    <col min="3080" max="3080" width="13.33203125" customWidth="1"/>
    <col min="3081" max="3081" width="14.1640625" customWidth="1"/>
    <col min="3082" max="3082" width="16.6640625" customWidth="1"/>
    <col min="3083" max="3083" width="17.5" customWidth="1"/>
    <col min="3084" max="3085" width="12.5" customWidth="1"/>
    <col min="3086" max="3086" width="9.1640625" customWidth="1"/>
    <col min="3087" max="3087" width="16.6640625" customWidth="1"/>
    <col min="3088" max="3088" width="12.5" customWidth="1"/>
    <col min="3089" max="3089" width="10" customWidth="1"/>
    <col min="3090" max="3328" width="7.5" customWidth="1"/>
    <col min="3329" max="3329" width="6.6640625" customWidth="1"/>
    <col min="3330" max="3330" width="11.6640625" customWidth="1"/>
    <col min="3331" max="3331" width="16.6640625" customWidth="1"/>
    <col min="3332" max="3333" width="11.6640625" customWidth="1"/>
    <col min="3334" max="3334" width="13.33203125" customWidth="1"/>
    <col min="3335" max="3335" width="14.1640625" customWidth="1"/>
    <col min="3336" max="3336" width="13.33203125" customWidth="1"/>
    <col min="3337" max="3337" width="14.1640625" customWidth="1"/>
    <col min="3338" max="3338" width="16.6640625" customWidth="1"/>
    <col min="3339" max="3339" width="17.5" customWidth="1"/>
    <col min="3340" max="3341" width="12.5" customWidth="1"/>
    <col min="3342" max="3342" width="9.1640625" customWidth="1"/>
    <col min="3343" max="3343" width="16.6640625" customWidth="1"/>
    <col min="3344" max="3344" width="12.5" customWidth="1"/>
    <col min="3345" max="3345" width="10" customWidth="1"/>
    <col min="3346" max="3584" width="7.5" customWidth="1"/>
    <col min="3585" max="3585" width="6.6640625" customWidth="1"/>
    <col min="3586" max="3586" width="11.6640625" customWidth="1"/>
    <col min="3587" max="3587" width="16.6640625" customWidth="1"/>
    <col min="3588" max="3589" width="11.6640625" customWidth="1"/>
    <col min="3590" max="3590" width="13.33203125" customWidth="1"/>
    <col min="3591" max="3591" width="14.1640625" customWidth="1"/>
    <col min="3592" max="3592" width="13.33203125" customWidth="1"/>
    <col min="3593" max="3593" width="14.1640625" customWidth="1"/>
    <col min="3594" max="3594" width="16.6640625" customWidth="1"/>
    <col min="3595" max="3595" width="17.5" customWidth="1"/>
    <col min="3596" max="3597" width="12.5" customWidth="1"/>
    <col min="3598" max="3598" width="9.1640625" customWidth="1"/>
    <col min="3599" max="3599" width="16.6640625" customWidth="1"/>
    <col min="3600" max="3600" width="12.5" customWidth="1"/>
    <col min="3601" max="3601" width="10" customWidth="1"/>
    <col min="3602" max="3840" width="7.5" customWidth="1"/>
    <col min="3841" max="3841" width="6.6640625" customWidth="1"/>
    <col min="3842" max="3842" width="11.6640625" customWidth="1"/>
    <col min="3843" max="3843" width="16.6640625" customWidth="1"/>
    <col min="3844" max="3845" width="11.6640625" customWidth="1"/>
    <col min="3846" max="3846" width="13.33203125" customWidth="1"/>
    <col min="3847" max="3847" width="14.1640625" customWidth="1"/>
    <col min="3848" max="3848" width="13.33203125" customWidth="1"/>
    <col min="3849" max="3849" width="14.1640625" customWidth="1"/>
    <col min="3850" max="3850" width="16.6640625" customWidth="1"/>
    <col min="3851" max="3851" width="17.5" customWidth="1"/>
    <col min="3852" max="3853" width="12.5" customWidth="1"/>
    <col min="3854" max="3854" width="9.1640625" customWidth="1"/>
    <col min="3855" max="3855" width="16.6640625" customWidth="1"/>
    <col min="3856" max="3856" width="12.5" customWidth="1"/>
    <col min="3857" max="3857" width="10" customWidth="1"/>
    <col min="3858" max="4096" width="7.5" customWidth="1"/>
    <col min="4097" max="4097" width="6.6640625" customWidth="1"/>
    <col min="4098" max="4098" width="11.6640625" customWidth="1"/>
    <col min="4099" max="4099" width="16.6640625" customWidth="1"/>
    <col min="4100" max="4101" width="11.6640625" customWidth="1"/>
    <col min="4102" max="4102" width="13.33203125" customWidth="1"/>
    <col min="4103" max="4103" width="14.1640625" customWidth="1"/>
    <col min="4104" max="4104" width="13.33203125" customWidth="1"/>
    <col min="4105" max="4105" width="14.1640625" customWidth="1"/>
    <col min="4106" max="4106" width="16.6640625" customWidth="1"/>
    <col min="4107" max="4107" width="17.5" customWidth="1"/>
    <col min="4108" max="4109" width="12.5" customWidth="1"/>
    <col min="4110" max="4110" width="9.1640625" customWidth="1"/>
    <col min="4111" max="4111" width="16.6640625" customWidth="1"/>
    <col min="4112" max="4112" width="12.5" customWidth="1"/>
    <col min="4113" max="4113" width="10" customWidth="1"/>
    <col min="4114" max="4352" width="7.5" customWidth="1"/>
    <col min="4353" max="4353" width="6.6640625" customWidth="1"/>
    <col min="4354" max="4354" width="11.6640625" customWidth="1"/>
    <col min="4355" max="4355" width="16.6640625" customWidth="1"/>
    <col min="4356" max="4357" width="11.6640625" customWidth="1"/>
    <col min="4358" max="4358" width="13.33203125" customWidth="1"/>
    <col min="4359" max="4359" width="14.1640625" customWidth="1"/>
    <col min="4360" max="4360" width="13.33203125" customWidth="1"/>
    <col min="4361" max="4361" width="14.1640625" customWidth="1"/>
    <col min="4362" max="4362" width="16.6640625" customWidth="1"/>
    <col min="4363" max="4363" width="17.5" customWidth="1"/>
    <col min="4364" max="4365" width="12.5" customWidth="1"/>
    <col min="4366" max="4366" width="9.1640625" customWidth="1"/>
    <col min="4367" max="4367" width="16.6640625" customWidth="1"/>
    <col min="4368" max="4368" width="12.5" customWidth="1"/>
    <col min="4369" max="4369" width="10" customWidth="1"/>
    <col min="4370" max="4608" width="7.5" customWidth="1"/>
    <col min="4609" max="4609" width="6.6640625" customWidth="1"/>
    <col min="4610" max="4610" width="11.6640625" customWidth="1"/>
    <col min="4611" max="4611" width="16.6640625" customWidth="1"/>
    <col min="4612" max="4613" width="11.6640625" customWidth="1"/>
    <col min="4614" max="4614" width="13.33203125" customWidth="1"/>
    <col min="4615" max="4615" width="14.1640625" customWidth="1"/>
    <col min="4616" max="4616" width="13.33203125" customWidth="1"/>
    <col min="4617" max="4617" width="14.1640625" customWidth="1"/>
    <col min="4618" max="4618" width="16.6640625" customWidth="1"/>
    <col min="4619" max="4619" width="17.5" customWidth="1"/>
    <col min="4620" max="4621" width="12.5" customWidth="1"/>
    <col min="4622" max="4622" width="9.1640625" customWidth="1"/>
    <col min="4623" max="4623" width="16.6640625" customWidth="1"/>
    <col min="4624" max="4624" width="12.5" customWidth="1"/>
    <col min="4625" max="4625" width="10" customWidth="1"/>
    <col min="4626" max="4864" width="7.5" customWidth="1"/>
    <col min="4865" max="4865" width="6.6640625" customWidth="1"/>
    <col min="4866" max="4866" width="11.6640625" customWidth="1"/>
    <col min="4867" max="4867" width="16.6640625" customWidth="1"/>
    <col min="4868" max="4869" width="11.6640625" customWidth="1"/>
    <col min="4870" max="4870" width="13.33203125" customWidth="1"/>
    <col min="4871" max="4871" width="14.1640625" customWidth="1"/>
    <col min="4872" max="4872" width="13.33203125" customWidth="1"/>
    <col min="4873" max="4873" width="14.1640625" customWidth="1"/>
    <col min="4874" max="4874" width="16.6640625" customWidth="1"/>
    <col min="4875" max="4875" width="17.5" customWidth="1"/>
    <col min="4876" max="4877" width="12.5" customWidth="1"/>
    <col min="4878" max="4878" width="9.1640625" customWidth="1"/>
    <col min="4879" max="4879" width="16.6640625" customWidth="1"/>
    <col min="4880" max="4880" width="12.5" customWidth="1"/>
    <col min="4881" max="4881" width="10" customWidth="1"/>
    <col min="4882" max="5120" width="7.5" customWidth="1"/>
    <col min="5121" max="5121" width="6.6640625" customWidth="1"/>
    <col min="5122" max="5122" width="11.6640625" customWidth="1"/>
    <col min="5123" max="5123" width="16.6640625" customWidth="1"/>
    <col min="5124" max="5125" width="11.6640625" customWidth="1"/>
    <col min="5126" max="5126" width="13.33203125" customWidth="1"/>
    <col min="5127" max="5127" width="14.1640625" customWidth="1"/>
    <col min="5128" max="5128" width="13.33203125" customWidth="1"/>
    <col min="5129" max="5129" width="14.1640625" customWidth="1"/>
    <col min="5130" max="5130" width="16.6640625" customWidth="1"/>
    <col min="5131" max="5131" width="17.5" customWidth="1"/>
    <col min="5132" max="5133" width="12.5" customWidth="1"/>
    <col min="5134" max="5134" width="9.1640625" customWidth="1"/>
    <col min="5135" max="5135" width="16.6640625" customWidth="1"/>
    <col min="5136" max="5136" width="12.5" customWidth="1"/>
    <col min="5137" max="5137" width="10" customWidth="1"/>
    <col min="5138" max="5376" width="7.5" customWidth="1"/>
    <col min="5377" max="5377" width="6.6640625" customWidth="1"/>
    <col min="5378" max="5378" width="11.6640625" customWidth="1"/>
    <col min="5379" max="5379" width="16.6640625" customWidth="1"/>
    <col min="5380" max="5381" width="11.6640625" customWidth="1"/>
    <col min="5382" max="5382" width="13.33203125" customWidth="1"/>
    <col min="5383" max="5383" width="14.1640625" customWidth="1"/>
    <col min="5384" max="5384" width="13.33203125" customWidth="1"/>
    <col min="5385" max="5385" width="14.1640625" customWidth="1"/>
    <col min="5386" max="5386" width="16.6640625" customWidth="1"/>
    <col min="5387" max="5387" width="17.5" customWidth="1"/>
    <col min="5388" max="5389" width="12.5" customWidth="1"/>
    <col min="5390" max="5390" width="9.1640625" customWidth="1"/>
    <col min="5391" max="5391" width="16.6640625" customWidth="1"/>
    <col min="5392" max="5392" width="12.5" customWidth="1"/>
    <col min="5393" max="5393" width="10" customWidth="1"/>
    <col min="5394" max="5632" width="7.5" customWidth="1"/>
    <col min="5633" max="5633" width="6.6640625" customWidth="1"/>
    <col min="5634" max="5634" width="11.6640625" customWidth="1"/>
    <col min="5635" max="5635" width="16.6640625" customWidth="1"/>
    <col min="5636" max="5637" width="11.6640625" customWidth="1"/>
    <col min="5638" max="5638" width="13.33203125" customWidth="1"/>
    <col min="5639" max="5639" width="14.1640625" customWidth="1"/>
    <col min="5640" max="5640" width="13.33203125" customWidth="1"/>
    <col min="5641" max="5641" width="14.1640625" customWidth="1"/>
    <col min="5642" max="5642" width="16.6640625" customWidth="1"/>
    <col min="5643" max="5643" width="17.5" customWidth="1"/>
    <col min="5644" max="5645" width="12.5" customWidth="1"/>
    <col min="5646" max="5646" width="9.1640625" customWidth="1"/>
    <col min="5647" max="5647" width="16.6640625" customWidth="1"/>
    <col min="5648" max="5648" width="12.5" customWidth="1"/>
    <col min="5649" max="5649" width="10" customWidth="1"/>
    <col min="5650" max="5888" width="7.5" customWidth="1"/>
    <col min="5889" max="5889" width="6.6640625" customWidth="1"/>
    <col min="5890" max="5890" width="11.6640625" customWidth="1"/>
    <col min="5891" max="5891" width="16.6640625" customWidth="1"/>
    <col min="5892" max="5893" width="11.6640625" customWidth="1"/>
    <col min="5894" max="5894" width="13.33203125" customWidth="1"/>
    <col min="5895" max="5895" width="14.1640625" customWidth="1"/>
    <col min="5896" max="5896" width="13.33203125" customWidth="1"/>
    <col min="5897" max="5897" width="14.1640625" customWidth="1"/>
    <col min="5898" max="5898" width="16.6640625" customWidth="1"/>
    <col min="5899" max="5899" width="17.5" customWidth="1"/>
    <col min="5900" max="5901" width="12.5" customWidth="1"/>
    <col min="5902" max="5902" width="9.1640625" customWidth="1"/>
    <col min="5903" max="5903" width="16.6640625" customWidth="1"/>
    <col min="5904" max="5904" width="12.5" customWidth="1"/>
    <col min="5905" max="5905" width="10" customWidth="1"/>
    <col min="5906" max="6144" width="7.5" customWidth="1"/>
    <col min="6145" max="6145" width="6.6640625" customWidth="1"/>
    <col min="6146" max="6146" width="11.6640625" customWidth="1"/>
    <col min="6147" max="6147" width="16.6640625" customWidth="1"/>
    <col min="6148" max="6149" width="11.6640625" customWidth="1"/>
    <col min="6150" max="6150" width="13.33203125" customWidth="1"/>
    <col min="6151" max="6151" width="14.1640625" customWidth="1"/>
    <col min="6152" max="6152" width="13.33203125" customWidth="1"/>
    <col min="6153" max="6153" width="14.1640625" customWidth="1"/>
    <col min="6154" max="6154" width="16.6640625" customWidth="1"/>
    <col min="6155" max="6155" width="17.5" customWidth="1"/>
    <col min="6156" max="6157" width="12.5" customWidth="1"/>
    <col min="6158" max="6158" width="9.1640625" customWidth="1"/>
    <col min="6159" max="6159" width="16.6640625" customWidth="1"/>
    <col min="6160" max="6160" width="12.5" customWidth="1"/>
    <col min="6161" max="6161" width="10" customWidth="1"/>
    <col min="6162" max="6400" width="7.5" customWidth="1"/>
    <col min="6401" max="6401" width="6.6640625" customWidth="1"/>
    <col min="6402" max="6402" width="11.6640625" customWidth="1"/>
    <col min="6403" max="6403" width="16.6640625" customWidth="1"/>
    <col min="6404" max="6405" width="11.6640625" customWidth="1"/>
    <col min="6406" max="6406" width="13.33203125" customWidth="1"/>
    <col min="6407" max="6407" width="14.1640625" customWidth="1"/>
    <col min="6408" max="6408" width="13.33203125" customWidth="1"/>
    <col min="6409" max="6409" width="14.1640625" customWidth="1"/>
    <col min="6410" max="6410" width="16.6640625" customWidth="1"/>
    <col min="6411" max="6411" width="17.5" customWidth="1"/>
    <col min="6412" max="6413" width="12.5" customWidth="1"/>
    <col min="6414" max="6414" width="9.1640625" customWidth="1"/>
    <col min="6415" max="6415" width="16.6640625" customWidth="1"/>
    <col min="6416" max="6416" width="12.5" customWidth="1"/>
    <col min="6417" max="6417" width="10" customWidth="1"/>
    <col min="6418" max="6656" width="7.5" customWidth="1"/>
    <col min="6657" max="6657" width="6.6640625" customWidth="1"/>
    <col min="6658" max="6658" width="11.6640625" customWidth="1"/>
    <col min="6659" max="6659" width="16.6640625" customWidth="1"/>
    <col min="6660" max="6661" width="11.6640625" customWidth="1"/>
    <col min="6662" max="6662" width="13.33203125" customWidth="1"/>
    <col min="6663" max="6663" width="14.1640625" customWidth="1"/>
    <col min="6664" max="6664" width="13.33203125" customWidth="1"/>
    <col min="6665" max="6665" width="14.1640625" customWidth="1"/>
    <col min="6666" max="6666" width="16.6640625" customWidth="1"/>
    <col min="6667" max="6667" width="17.5" customWidth="1"/>
    <col min="6668" max="6669" width="12.5" customWidth="1"/>
    <col min="6670" max="6670" width="9.1640625" customWidth="1"/>
    <col min="6671" max="6671" width="16.6640625" customWidth="1"/>
    <col min="6672" max="6672" width="12.5" customWidth="1"/>
    <col min="6673" max="6673" width="10" customWidth="1"/>
    <col min="6674" max="6912" width="7.5" customWidth="1"/>
    <col min="6913" max="6913" width="6.6640625" customWidth="1"/>
    <col min="6914" max="6914" width="11.6640625" customWidth="1"/>
    <col min="6915" max="6915" width="16.6640625" customWidth="1"/>
    <col min="6916" max="6917" width="11.6640625" customWidth="1"/>
    <col min="6918" max="6918" width="13.33203125" customWidth="1"/>
    <col min="6919" max="6919" width="14.1640625" customWidth="1"/>
    <col min="6920" max="6920" width="13.33203125" customWidth="1"/>
    <col min="6921" max="6921" width="14.1640625" customWidth="1"/>
    <col min="6922" max="6922" width="16.6640625" customWidth="1"/>
    <col min="6923" max="6923" width="17.5" customWidth="1"/>
    <col min="6924" max="6925" width="12.5" customWidth="1"/>
    <col min="6926" max="6926" width="9.1640625" customWidth="1"/>
    <col min="6927" max="6927" width="16.6640625" customWidth="1"/>
    <col min="6928" max="6928" width="12.5" customWidth="1"/>
    <col min="6929" max="6929" width="10" customWidth="1"/>
    <col min="6930" max="7168" width="7.5" customWidth="1"/>
    <col min="7169" max="7169" width="6.6640625" customWidth="1"/>
    <col min="7170" max="7170" width="11.6640625" customWidth="1"/>
    <col min="7171" max="7171" width="16.6640625" customWidth="1"/>
    <col min="7172" max="7173" width="11.6640625" customWidth="1"/>
    <col min="7174" max="7174" width="13.33203125" customWidth="1"/>
    <col min="7175" max="7175" width="14.1640625" customWidth="1"/>
    <col min="7176" max="7176" width="13.33203125" customWidth="1"/>
    <col min="7177" max="7177" width="14.1640625" customWidth="1"/>
    <col min="7178" max="7178" width="16.6640625" customWidth="1"/>
    <col min="7179" max="7179" width="17.5" customWidth="1"/>
    <col min="7180" max="7181" width="12.5" customWidth="1"/>
    <col min="7182" max="7182" width="9.1640625" customWidth="1"/>
    <col min="7183" max="7183" width="16.6640625" customWidth="1"/>
    <col min="7184" max="7184" width="12.5" customWidth="1"/>
    <col min="7185" max="7185" width="10" customWidth="1"/>
    <col min="7186" max="7424" width="7.5" customWidth="1"/>
    <col min="7425" max="7425" width="6.6640625" customWidth="1"/>
    <col min="7426" max="7426" width="11.6640625" customWidth="1"/>
    <col min="7427" max="7427" width="16.6640625" customWidth="1"/>
    <col min="7428" max="7429" width="11.6640625" customWidth="1"/>
    <col min="7430" max="7430" width="13.33203125" customWidth="1"/>
    <col min="7431" max="7431" width="14.1640625" customWidth="1"/>
    <col min="7432" max="7432" width="13.33203125" customWidth="1"/>
    <col min="7433" max="7433" width="14.1640625" customWidth="1"/>
    <col min="7434" max="7434" width="16.6640625" customWidth="1"/>
    <col min="7435" max="7435" width="17.5" customWidth="1"/>
    <col min="7436" max="7437" width="12.5" customWidth="1"/>
    <col min="7438" max="7438" width="9.1640625" customWidth="1"/>
    <col min="7439" max="7439" width="16.6640625" customWidth="1"/>
    <col min="7440" max="7440" width="12.5" customWidth="1"/>
    <col min="7441" max="7441" width="10" customWidth="1"/>
    <col min="7442" max="7680" width="7.5" customWidth="1"/>
    <col min="7681" max="7681" width="6.6640625" customWidth="1"/>
    <col min="7682" max="7682" width="11.6640625" customWidth="1"/>
    <col min="7683" max="7683" width="16.6640625" customWidth="1"/>
    <col min="7684" max="7685" width="11.6640625" customWidth="1"/>
    <col min="7686" max="7686" width="13.33203125" customWidth="1"/>
    <col min="7687" max="7687" width="14.1640625" customWidth="1"/>
    <col min="7688" max="7688" width="13.33203125" customWidth="1"/>
    <col min="7689" max="7689" width="14.1640625" customWidth="1"/>
    <col min="7690" max="7690" width="16.6640625" customWidth="1"/>
    <col min="7691" max="7691" width="17.5" customWidth="1"/>
    <col min="7692" max="7693" width="12.5" customWidth="1"/>
    <col min="7694" max="7694" width="9.1640625" customWidth="1"/>
    <col min="7695" max="7695" width="16.6640625" customWidth="1"/>
    <col min="7696" max="7696" width="12.5" customWidth="1"/>
    <col min="7697" max="7697" width="10" customWidth="1"/>
    <col min="7698" max="7936" width="7.5" customWidth="1"/>
    <col min="7937" max="7937" width="6.6640625" customWidth="1"/>
    <col min="7938" max="7938" width="11.6640625" customWidth="1"/>
    <col min="7939" max="7939" width="16.6640625" customWidth="1"/>
    <col min="7940" max="7941" width="11.6640625" customWidth="1"/>
    <col min="7942" max="7942" width="13.33203125" customWidth="1"/>
    <col min="7943" max="7943" width="14.1640625" customWidth="1"/>
    <col min="7944" max="7944" width="13.33203125" customWidth="1"/>
    <col min="7945" max="7945" width="14.1640625" customWidth="1"/>
    <col min="7946" max="7946" width="16.6640625" customWidth="1"/>
    <col min="7947" max="7947" width="17.5" customWidth="1"/>
    <col min="7948" max="7949" width="12.5" customWidth="1"/>
    <col min="7950" max="7950" width="9.1640625" customWidth="1"/>
    <col min="7951" max="7951" width="16.6640625" customWidth="1"/>
    <col min="7952" max="7952" width="12.5" customWidth="1"/>
    <col min="7953" max="7953" width="10" customWidth="1"/>
    <col min="7954" max="8192" width="7.5" customWidth="1"/>
    <col min="8193" max="8193" width="6.6640625" customWidth="1"/>
    <col min="8194" max="8194" width="11.6640625" customWidth="1"/>
    <col min="8195" max="8195" width="16.6640625" customWidth="1"/>
    <col min="8196" max="8197" width="11.6640625" customWidth="1"/>
    <col min="8198" max="8198" width="13.33203125" customWidth="1"/>
    <col min="8199" max="8199" width="14.1640625" customWidth="1"/>
    <col min="8200" max="8200" width="13.33203125" customWidth="1"/>
    <col min="8201" max="8201" width="14.1640625" customWidth="1"/>
    <col min="8202" max="8202" width="16.6640625" customWidth="1"/>
    <col min="8203" max="8203" width="17.5" customWidth="1"/>
    <col min="8204" max="8205" width="12.5" customWidth="1"/>
    <col min="8206" max="8206" width="9.1640625" customWidth="1"/>
    <col min="8207" max="8207" width="16.6640625" customWidth="1"/>
    <col min="8208" max="8208" width="12.5" customWidth="1"/>
    <col min="8209" max="8209" width="10" customWidth="1"/>
    <col min="8210" max="8448" width="7.5" customWidth="1"/>
    <col min="8449" max="8449" width="6.6640625" customWidth="1"/>
    <col min="8450" max="8450" width="11.6640625" customWidth="1"/>
    <col min="8451" max="8451" width="16.6640625" customWidth="1"/>
    <col min="8452" max="8453" width="11.6640625" customWidth="1"/>
    <col min="8454" max="8454" width="13.33203125" customWidth="1"/>
    <col min="8455" max="8455" width="14.1640625" customWidth="1"/>
    <col min="8456" max="8456" width="13.33203125" customWidth="1"/>
    <col min="8457" max="8457" width="14.1640625" customWidth="1"/>
    <col min="8458" max="8458" width="16.6640625" customWidth="1"/>
    <col min="8459" max="8459" width="17.5" customWidth="1"/>
    <col min="8460" max="8461" width="12.5" customWidth="1"/>
    <col min="8462" max="8462" width="9.1640625" customWidth="1"/>
    <col min="8463" max="8463" width="16.6640625" customWidth="1"/>
    <col min="8464" max="8464" width="12.5" customWidth="1"/>
    <col min="8465" max="8465" width="10" customWidth="1"/>
    <col min="8466" max="8704" width="7.5" customWidth="1"/>
    <col min="8705" max="8705" width="6.6640625" customWidth="1"/>
    <col min="8706" max="8706" width="11.6640625" customWidth="1"/>
    <col min="8707" max="8707" width="16.6640625" customWidth="1"/>
    <col min="8708" max="8709" width="11.6640625" customWidth="1"/>
    <col min="8710" max="8710" width="13.33203125" customWidth="1"/>
    <col min="8711" max="8711" width="14.1640625" customWidth="1"/>
    <col min="8712" max="8712" width="13.33203125" customWidth="1"/>
    <col min="8713" max="8713" width="14.1640625" customWidth="1"/>
    <col min="8714" max="8714" width="16.6640625" customWidth="1"/>
    <col min="8715" max="8715" width="17.5" customWidth="1"/>
    <col min="8716" max="8717" width="12.5" customWidth="1"/>
    <col min="8718" max="8718" width="9.1640625" customWidth="1"/>
    <col min="8719" max="8719" width="16.6640625" customWidth="1"/>
    <col min="8720" max="8720" width="12.5" customWidth="1"/>
    <col min="8721" max="8721" width="10" customWidth="1"/>
    <col min="8722" max="8960" width="7.5" customWidth="1"/>
    <col min="8961" max="8961" width="6.6640625" customWidth="1"/>
    <col min="8962" max="8962" width="11.6640625" customWidth="1"/>
    <col min="8963" max="8963" width="16.6640625" customWidth="1"/>
    <col min="8964" max="8965" width="11.6640625" customWidth="1"/>
    <col min="8966" max="8966" width="13.33203125" customWidth="1"/>
    <col min="8967" max="8967" width="14.1640625" customWidth="1"/>
    <col min="8968" max="8968" width="13.33203125" customWidth="1"/>
    <col min="8969" max="8969" width="14.1640625" customWidth="1"/>
    <col min="8970" max="8970" width="16.6640625" customWidth="1"/>
    <col min="8971" max="8971" width="17.5" customWidth="1"/>
    <col min="8972" max="8973" width="12.5" customWidth="1"/>
    <col min="8974" max="8974" width="9.1640625" customWidth="1"/>
    <col min="8975" max="8975" width="16.6640625" customWidth="1"/>
    <col min="8976" max="8976" width="12.5" customWidth="1"/>
    <col min="8977" max="8977" width="10" customWidth="1"/>
    <col min="8978" max="9216" width="7.5" customWidth="1"/>
    <col min="9217" max="9217" width="6.6640625" customWidth="1"/>
    <col min="9218" max="9218" width="11.6640625" customWidth="1"/>
    <col min="9219" max="9219" width="16.6640625" customWidth="1"/>
    <col min="9220" max="9221" width="11.6640625" customWidth="1"/>
    <col min="9222" max="9222" width="13.33203125" customWidth="1"/>
    <col min="9223" max="9223" width="14.1640625" customWidth="1"/>
    <col min="9224" max="9224" width="13.33203125" customWidth="1"/>
    <col min="9225" max="9225" width="14.1640625" customWidth="1"/>
    <col min="9226" max="9226" width="16.6640625" customWidth="1"/>
    <col min="9227" max="9227" width="17.5" customWidth="1"/>
    <col min="9228" max="9229" width="12.5" customWidth="1"/>
    <col min="9230" max="9230" width="9.1640625" customWidth="1"/>
    <col min="9231" max="9231" width="16.6640625" customWidth="1"/>
    <col min="9232" max="9232" width="12.5" customWidth="1"/>
    <col min="9233" max="9233" width="10" customWidth="1"/>
    <col min="9234" max="9472" width="7.5" customWidth="1"/>
    <col min="9473" max="9473" width="6.6640625" customWidth="1"/>
    <col min="9474" max="9474" width="11.6640625" customWidth="1"/>
    <col min="9475" max="9475" width="16.6640625" customWidth="1"/>
    <col min="9476" max="9477" width="11.6640625" customWidth="1"/>
    <col min="9478" max="9478" width="13.33203125" customWidth="1"/>
    <col min="9479" max="9479" width="14.1640625" customWidth="1"/>
    <col min="9480" max="9480" width="13.33203125" customWidth="1"/>
    <col min="9481" max="9481" width="14.1640625" customWidth="1"/>
    <col min="9482" max="9482" width="16.6640625" customWidth="1"/>
    <col min="9483" max="9483" width="17.5" customWidth="1"/>
    <col min="9484" max="9485" width="12.5" customWidth="1"/>
    <col min="9486" max="9486" width="9.1640625" customWidth="1"/>
    <col min="9487" max="9487" width="16.6640625" customWidth="1"/>
    <col min="9488" max="9488" width="12.5" customWidth="1"/>
    <col min="9489" max="9489" width="10" customWidth="1"/>
    <col min="9490" max="9728" width="7.5" customWidth="1"/>
    <col min="9729" max="9729" width="6.6640625" customWidth="1"/>
    <col min="9730" max="9730" width="11.6640625" customWidth="1"/>
    <col min="9731" max="9731" width="16.6640625" customWidth="1"/>
    <col min="9732" max="9733" width="11.6640625" customWidth="1"/>
    <col min="9734" max="9734" width="13.33203125" customWidth="1"/>
    <col min="9735" max="9735" width="14.1640625" customWidth="1"/>
    <col min="9736" max="9736" width="13.33203125" customWidth="1"/>
    <col min="9737" max="9737" width="14.1640625" customWidth="1"/>
    <col min="9738" max="9738" width="16.6640625" customWidth="1"/>
    <col min="9739" max="9739" width="17.5" customWidth="1"/>
    <col min="9740" max="9741" width="12.5" customWidth="1"/>
    <col min="9742" max="9742" width="9.1640625" customWidth="1"/>
    <col min="9743" max="9743" width="16.6640625" customWidth="1"/>
    <col min="9744" max="9744" width="12.5" customWidth="1"/>
    <col min="9745" max="9745" width="10" customWidth="1"/>
    <col min="9746" max="9984" width="7.5" customWidth="1"/>
    <col min="9985" max="9985" width="6.6640625" customWidth="1"/>
    <col min="9986" max="9986" width="11.6640625" customWidth="1"/>
    <col min="9987" max="9987" width="16.6640625" customWidth="1"/>
    <col min="9988" max="9989" width="11.6640625" customWidth="1"/>
    <col min="9990" max="9990" width="13.33203125" customWidth="1"/>
    <col min="9991" max="9991" width="14.1640625" customWidth="1"/>
    <col min="9992" max="9992" width="13.33203125" customWidth="1"/>
    <col min="9993" max="9993" width="14.1640625" customWidth="1"/>
    <col min="9994" max="9994" width="16.6640625" customWidth="1"/>
    <col min="9995" max="9995" width="17.5" customWidth="1"/>
    <col min="9996" max="9997" width="12.5" customWidth="1"/>
    <col min="9998" max="9998" width="9.1640625" customWidth="1"/>
    <col min="9999" max="9999" width="16.6640625" customWidth="1"/>
    <col min="10000" max="10000" width="12.5" customWidth="1"/>
    <col min="10001" max="10001" width="10" customWidth="1"/>
    <col min="10002" max="10240" width="7.5" customWidth="1"/>
    <col min="10241" max="10241" width="6.6640625" customWidth="1"/>
    <col min="10242" max="10242" width="11.6640625" customWidth="1"/>
    <col min="10243" max="10243" width="16.6640625" customWidth="1"/>
    <col min="10244" max="10245" width="11.6640625" customWidth="1"/>
    <col min="10246" max="10246" width="13.33203125" customWidth="1"/>
    <col min="10247" max="10247" width="14.1640625" customWidth="1"/>
    <col min="10248" max="10248" width="13.33203125" customWidth="1"/>
    <col min="10249" max="10249" width="14.1640625" customWidth="1"/>
    <col min="10250" max="10250" width="16.6640625" customWidth="1"/>
    <col min="10251" max="10251" width="17.5" customWidth="1"/>
    <col min="10252" max="10253" width="12.5" customWidth="1"/>
    <col min="10254" max="10254" width="9.1640625" customWidth="1"/>
    <col min="10255" max="10255" width="16.6640625" customWidth="1"/>
    <col min="10256" max="10256" width="12.5" customWidth="1"/>
    <col min="10257" max="10257" width="10" customWidth="1"/>
    <col min="10258" max="10496" width="7.5" customWidth="1"/>
    <col min="10497" max="10497" width="6.6640625" customWidth="1"/>
    <col min="10498" max="10498" width="11.6640625" customWidth="1"/>
    <col min="10499" max="10499" width="16.6640625" customWidth="1"/>
    <col min="10500" max="10501" width="11.6640625" customWidth="1"/>
    <col min="10502" max="10502" width="13.33203125" customWidth="1"/>
    <col min="10503" max="10503" width="14.1640625" customWidth="1"/>
    <col min="10504" max="10504" width="13.33203125" customWidth="1"/>
    <col min="10505" max="10505" width="14.1640625" customWidth="1"/>
    <col min="10506" max="10506" width="16.6640625" customWidth="1"/>
    <col min="10507" max="10507" width="17.5" customWidth="1"/>
    <col min="10508" max="10509" width="12.5" customWidth="1"/>
    <col min="10510" max="10510" width="9.1640625" customWidth="1"/>
    <col min="10511" max="10511" width="16.6640625" customWidth="1"/>
    <col min="10512" max="10512" width="12.5" customWidth="1"/>
    <col min="10513" max="10513" width="10" customWidth="1"/>
    <col min="10514" max="10752" width="7.5" customWidth="1"/>
    <col min="10753" max="10753" width="6.6640625" customWidth="1"/>
    <col min="10754" max="10754" width="11.6640625" customWidth="1"/>
    <col min="10755" max="10755" width="16.6640625" customWidth="1"/>
    <col min="10756" max="10757" width="11.6640625" customWidth="1"/>
    <col min="10758" max="10758" width="13.33203125" customWidth="1"/>
    <col min="10759" max="10759" width="14.1640625" customWidth="1"/>
    <col min="10760" max="10760" width="13.33203125" customWidth="1"/>
    <col min="10761" max="10761" width="14.1640625" customWidth="1"/>
    <col min="10762" max="10762" width="16.6640625" customWidth="1"/>
    <col min="10763" max="10763" width="17.5" customWidth="1"/>
    <col min="10764" max="10765" width="12.5" customWidth="1"/>
    <col min="10766" max="10766" width="9.1640625" customWidth="1"/>
    <col min="10767" max="10767" width="16.6640625" customWidth="1"/>
    <col min="10768" max="10768" width="12.5" customWidth="1"/>
    <col min="10769" max="10769" width="10" customWidth="1"/>
    <col min="10770" max="11008" width="7.5" customWidth="1"/>
    <col min="11009" max="11009" width="6.6640625" customWidth="1"/>
    <col min="11010" max="11010" width="11.6640625" customWidth="1"/>
    <col min="11011" max="11011" width="16.6640625" customWidth="1"/>
    <col min="11012" max="11013" width="11.6640625" customWidth="1"/>
    <col min="11014" max="11014" width="13.33203125" customWidth="1"/>
    <col min="11015" max="11015" width="14.1640625" customWidth="1"/>
    <col min="11016" max="11016" width="13.33203125" customWidth="1"/>
    <col min="11017" max="11017" width="14.1640625" customWidth="1"/>
    <col min="11018" max="11018" width="16.6640625" customWidth="1"/>
    <col min="11019" max="11019" width="17.5" customWidth="1"/>
    <col min="11020" max="11021" width="12.5" customWidth="1"/>
    <col min="11022" max="11022" width="9.1640625" customWidth="1"/>
    <col min="11023" max="11023" width="16.6640625" customWidth="1"/>
    <col min="11024" max="11024" width="12.5" customWidth="1"/>
    <col min="11025" max="11025" width="10" customWidth="1"/>
    <col min="11026" max="11264" width="7.5" customWidth="1"/>
    <col min="11265" max="11265" width="6.6640625" customWidth="1"/>
    <col min="11266" max="11266" width="11.6640625" customWidth="1"/>
    <col min="11267" max="11267" width="16.6640625" customWidth="1"/>
    <col min="11268" max="11269" width="11.6640625" customWidth="1"/>
    <col min="11270" max="11270" width="13.33203125" customWidth="1"/>
    <col min="11271" max="11271" width="14.1640625" customWidth="1"/>
    <col min="11272" max="11272" width="13.33203125" customWidth="1"/>
    <col min="11273" max="11273" width="14.1640625" customWidth="1"/>
    <col min="11274" max="11274" width="16.6640625" customWidth="1"/>
    <col min="11275" max="11275" width="17.5" customWidth="1"/>
    <col min="11276" max="11277" width="12.5" customWidth="1"/>
    <col min="11278" max="11278" width="9.1640625" customWidth="1"/>
    <col min="11279" max="11279" width="16.6640625" customWidth="1"/>
    <col min="11280" max="11280" width="12.5" customWidth="1"/>
    <col min="11281" max="11281" width="10" customWidth="1"/>
    <col min="11282" max="11520" width="7.5" customWidth="1"/>
    <col min="11521" max="11521" width="6.6640625" customWidth="1"/>
    <col min="11522" max="11522" width="11.6640625" customWidth="1"/>
    <col min="11523" max="11523" width="16.6640625" customWidth="1"/>
    <col min="11524" max="11525" width="11.6640625" customWidth="1"/>
    <col min="11526" max="11526" width="13.33203125" customWidth="1"/>
    <col min="11527" max="11527" width="14.1640625" customWidth="1"/>
    <col min="11528" max="11528" width="13.33203125" customWidth="1"/>
    <col min="11529" max="11529" width="14.1640625" customWidth="1"/>
    <col min="11530" max="11530" width="16.6640625" customWidth="1"/>
    <col min="11531" max="11531" width="17.5" customWidth="1"/>
    <col min="11532" max="11533" width="12.5" customWidth="1"/>
    <col min="11534" max="11534" width="9.1640625" customWidth="1"/>
    <col min="11535" max="11535" width="16.6640625" customWidth="1"/>
    <col min="11536" max="11536" width="12.5" customWidth="1"/>
    <col min="11537" max="11537" width="10" customWidth="1"/>
    <col min="11538" max="11776" width="7.5" customWidth="1"/>
    <col min="11777" max="11777" width="6.6640625" customWidth="1"/>
    <col min="11778" max="11778" width="11.6640625" customWidth="1"/>
    <col min="11779" max="11779" width="16.6640625" customWidth="1"/>
    <col min="11780" max="11781" width="11.6640625" customWidth="1"/>
    <col min="11782" max="11782" width="13.33203125" customWidth="1"/>
    <col min="11783" max="11783" width="14.1640625" customWidth="1"/>
    <col min="11784" max="11784" width="13.33203125" customWidth="1"/>
    <col min="11785" max="11785" width="14.1640625" customWidth="1"/>
    <col min="11786" max="11786" width="16.6640625" customWidth="1"/>
    <col min="11787" max="11787" width="17.5" customWidth="1"/>
    <col min="11788" max="11789" width="12.5" customWidth="1"/>
    <col min="11790" max="11790" width="9.1640625" customWidth="1"/>
    <col min="11791" max="11791" width="16.6640625" customWidth="1"/>
    <col min="11792" max="11792" width="12.5" customWidth="1"/>
    <col min="11793" max="11793" width="10" customWidth="1"/>
    <col min="11794" max="12032" width="7.5" customWidth="1"/>
    <col min="12033" max="12033" width="6.6640625" customWidth="1"/>
    <col min="12034" max="12034" width="11.6640625" customWidth="1"/>
    <col min="12035" max="12035" width="16.6640625" customWidth="1"/>
    <col min="12036" max="12037" width="11.6640625" customWidth="1"/>
    <col min="12038" max="12038" width="13.33203125" customWidth="1"/>
    <col min="12039" max="12039" width="14.1640625" customWidth="1"/>
    <col min="12040" max="12040" width="13.33203125" customWidth="1"/>
    <col min="12041" max="12041" width="14.1640625" customWidth="1"/>
    <col min="12042" max="12042" width="16.6640625" customWidth="1"/>
    <col min="12043" max="12043" width="17.5" customWidth="1"/>
    <col min="12044" max="12045" width="12.5" customWidth="1"/>
    <col min="12046" max="12046" width="9.1640625" customWidth="1"/>
    <col min="12047" max="12047" width="16.6640625" customWidth="1"/>
    <col min="12048" max="12048" width="12.5" customWidth="1"/>
    <col min="12049" max="12049" width="10" customWidth="1"/>
    <col min="12050" max="12288" width="7.5" customWidth="1"/>
    <col min="12289" max="12289" width="6.6640625" customWidth="1"/>
    <col min="12290" max="12290" width="11.6640625" customWidth="1"/>
    <col min="12291" max="12291" width="16.6640625" customWidth="1"/>
    <col min="12292" max="12293" width="11.6640625" customWidth="1"/>
    <col min="12294" max="12294" width="13.33203125" customWidth="1"/>
    <col min="12295" max="12295" width="14.1640625" customWidth="1"/>
    <col min="12296" max="12296" width="13.33203125" customWidth="1"/>
    <col min="12297" max="12297" width="14.1640625" customWidth="1"/>
    <col min="12298" max="12298" width="16.6640625" customWidth="1"/>
    <col min="12299" max="12299" width="17.5" customWidth="1"/>
    <col min="12300" max="12301" width="12.5" customWidth="1"/>
    <col min="12302" max="12302" width="9.1640625" customWidth="1"/>
    <col min="12303" max="12303" width="16.6640625" customWidth="1"/>
    <col min="12304" max="12304" width="12.5" customWidth="1"/>
    <col min="12305" max="12305" width="10" customWidth="1"/>
    <col min="12306" max="12544" width="7.5" customWidth="1"/>
    <col min="12545" max="12545" width="6.6640625" customWidth="1"/>
    <col min="12546" max="12546" width="11.6640625" customWidth="1"/>
    <col min="12547" max="12547" width="16.6640625" customWidth="1"/>
    <col min="12548" max="12549" width="11.6640625" customWidth="1"/>
    <col min="12550" max="12550" width="13.33203125" customWidth="1"/>
    <col min="12551" max="12551" width="14.1640625" customWidth="1"/>
    <col min="12552" max="12552" width="13.33203125" customWidth="1"/>
    <col min="12553" max="12553" width="14.1640625" customWidth="1"/>
    <col min="12554" max="12554" width="16.6640625" customWidth="1"/>
    <col min="12555" max="12555" width="17.5" customWidth="1"/>
    <col min="12556" max="12557" width="12.5" customWidth="1"/>
    <col min="12558" max="12558" width="9.1640625" customWidth="1"/>
    <col min="12559" max="12559" width="16.6640625" customWidth="1"/>
    <col min="12560" max="12560" width="12.5" customWidth="1"/>
    <col min="12561" max="12561" width="10" customWidth="1"/>
    <col min="12562" max="12800" width="7.5" customWidth="1"/>
    <col min="12801" max="12801" width="6.6640625" customWidth="1"/>
    <col min="12802" max="12802" width="11.6640625" customWidth="1"/>
    <col min="12803" max="12803" width="16.6640625" customWidth="1"/>
    <col min="12804" max="12805" width="11.6640625" customWidth="1"/>
    <col min="12806" max="12806" width="13.33203125" customWidth="1"/>
    <col min="12807" max="12807" width="14.1640625" customWidth="1"/>
    <col min="12808" max="12808" width="13.33203125" customWidth="1"/>
    <col min="12809" max="12809" width="14.1640625" customWidth="1"/>
    <col min="12810" max="12810" width="16.6640625" customWidth="1"/>
    <col min="12811" max="12811" width="17.5" customWidth="1"/>
    <col min="12812" max="12813" width="12.5" customWidth="1"/>
    <col min="12814" max="12814" width="9.1640625" customWidth="1"/>
    <col min="12815" max="12815" width="16.6640625" customWidth="1"/>
    <col min="12816" max="12816" width="12.5" customWidth="1"/>
    <col min="12817" max="12817" width="10" customWidth="1"/>
    <col min="12818" max="13056" width="7.5" customWidth="1"/>
    <col min="13057" max="13057" width="6.6640625" customWidth="1"/>
    <col min="13058" max="13058" width="11.6640625" customWidth="1"/>
    <col min="13059" max="13059" width="16.6640625" customWidth="1"/>
    <col min="13060" max="13061" width="11.6640625" customWidth="1"/>
    <col min="13062" max="13062" width="13.33203125" customWidth="1"/>
    <col min="13063" max="13063" width="14.1640625" customWidth="1"/>
    <col min="13064" max="13064" width="13.33203125" customWidth="1"/>
    <col min="13065" max="13065" width="14.1640625" customWidth="1"/>
    <col min="13066" max="13066" width="16.6640625" customWidth="1"/>
    <col min="13067" max="13067" width="17.5" customWidth="1"/>
    <col min="13068" max="13069" width="12.5" customWidth="1"/>
    <col min="13070" max="13070" width="9.1640625" customWidth="1"/>
    <col min="13071" max="13071" width="16.6640625" customWidth="1"/>
    <col min="13072" max="13072" width="12.5" customWidth="1"/>
    <col min="13073" max="13073" width="10" customWidth="1"/>
    <col min="13074" max="13312" width="7.5" customWidth="1"/>
    <col min="13313" max="13313" width="6.6640625" customWidth="1"/>
    <col min="13314" max="13314" width="11.6640625" customWidth="1"/>
    <col min="13315" max="13315" width="16.6640625" customWidth="1"/>
    <col min="13316" max="13317" width="11.6640625" customWidth="1"/>
    <col min="13318" max="13318" width="13.33203125" customWidth="1"/>
    <col min="13319" max="13319" width="14.1640625" customWidth="1"/>
    <col min="13320" max="13320" width="13.33203125" customWidth="1"/>
    <col min="13321" max="13321" width="14.1640625" customWidth="1"/>
    <col min="13322" max="13322" width="16.6640625" customWidth="1"/>
    <col min="13323" max="13323" width="17.5" customWidth="1"/>
    <col min="13324" max="13325" width="12.5" customWidth="1"/>
    <col min="13326" max="13326" width="9.1640625" customWidth="1"/>
    <col min="13327" max="13327" width="16.6640625" customWidth="1"/>
    <col min="13328" max="13328" width="12.5" customWidth="1"/>
    <col min="13329" max="13329" width="10" customWidth="1"/>
    <col min="13330" max="13568" width="7.5" customWidth="1"/>
    <col min="13569" max="13569" width="6.6640625" customWidth="1"/>
    <col min="13570" max="13570" width="11.6640625" customWidth="1"/>
    <col min="13571" max="13571" width="16.6640625" customWidth="1"/>
    <col min="13572" max="13573" width="11.6640625" customWidth="1"/>
    <col min="13574" max="13574" width="13.33203125" customWidth="1"/>
    <col min="13575" max="13575" width="14.1640625" customWidth="1"/>
    <col min="13576" max="13576" width="13.33203125" customWidth="1"/>
    <col min="13577" max="13577" width="14.1640625" customWidth="1"/>
    <col min="13578" max="13578" width="16.6640625" customWidth="1"/>
    <col min="13579" max="13579" width="17.5" customWidth="1"/>
    <col min="13580" max="13581" width="12.5" customWidth="1"/>
    <col min="13582" max="13582" width="9.1640625" customWidth="1"/>
    <col min="13583" max="13583" width="16.6640625" customWidth="1"/>
    <col min="13584" max="13584" width="12.5" customWidth="1"/>
    <col min="13585" max="13585" width="10" customWidth="1"/>
    <col min="13586" max="13824" width="7.5" customWidth="1"/>
    <col min="13825" max="13825" width="6.6640625" customWidth="1"/>
    <col min="13826" max="13826" width="11.6640625" customWidth="1"/>
    <col min="13827" max="13827" width="16.6640625" customWidth="1"/>
    <col min="13828" max="13829" width="11.6640625" customWidth="1"/>
    <col min="13830" max="13830" width="13.33203125" customWidth="1"/>
    <col min="13831" max="13831" width="14.1640625" customWidth="1"/>
    <col min="13832" max="13832" width="13.33203125" customWidth="1"/>
    <col min="13833" max="13833" width="14.1640625" customWidth="1"/>
    <col min="13834" max="13834" width="16.6640625" customWidth="1"/>
    <col min="13835" max="13835" width="17.5" customWidth="1"/>
    <col min="13836" max="13837" width="12.5" customWidth="1"/>
    <col min="13838" max="13838" width="9.1640625" customWidth="1"/>
    <col min="13839" max="13839" width="16.6640625" customWidth="1"/>
    <col min="13840" max="13840" width="12.5" customWidth="1"/>
    <col min="13841" max="13841" width="10" customWidth="1"/>
    <col min="13842" max="14080" width="7.5" customWidth="1"/>
    <col min="14081" max="14081" width="6.6640625" customWidth="1"/>
    <col min="14082" max="14082" width="11.6640625" customWidth="1"/>
    <col min="14083" max="14083" width="16.6640625" customWidth="1"/>
    <col min="14084" max="14085" width="11.6640625" customWidth="1"/>
    <col min="14086" max="14086" width="13.33203125" customWidth="1"/>
    <col min="14087" max="14087" width="14.1640625" customWidth="1"/>
    <col min="14088" max="14088" width="13.33203125" customWidth="1"/>
    <col min="14089" max="14089" width="14.1640625" customWidth="1"/>
    <col min="14090" max="14090" width="16.6640625" customWidth="1"/>
    <col min="14091" max="14091" width="17.5" customWidth="1"/>
    <col min="14092" max="14093" width="12.5" customWidth="1"/>
    <col min="14094" max="14094" width="9.1640625" customWidth="1"/>
    <col min="14095" max="14095" width="16.6640625" customWidth="1"/>
    <col min="14096" max="14096" width="12.5" customWidth="1"/>
    <col min="14097" max="14097" width="10" customWidth="1"/>
    <col min="14098" max="14336" width="7.5" customWidth="1"/>
    <col min="14337" max="14337" width="6.6640625" customWidth="1"/>
    <col min="14338" max="14338" width="11.6640625" customWidth="1"/>
    <col min="14339" max="14339" width="16.6640625" customWidth="1"/>
    <col min="14340" max="14341" width="11.6640625" customWidth="1"/>
    <col min="14342" max="14342" width="13.33203125" customWidth="1"/>
    <col min="14343" max="14343" width="14.1640625" customWidth="1"/>
    <col min="14344" max="14344" width="13.33203125" customWidth="1"/>
    <col min="14345" max="14345" width="14.1640625" customWidth="1"/>
    <col min="14346" max="14346" width="16.6640625" customWidth="1"/>
    <col min="14347" max="14347" width="17.5" customWidth="1"/>
    <col min="14348" max="14349" width="12.5" customWidth="1"/>
    <col min="14350" max="14350" width="9.1640625" customWidth="1"/>
    <col min="14351" max="14351" width="16.6640625" customWidth="1"/>
    <col min="14352" max="14352" width="12.5" customWidth="1"/>
    <col min="14353" max="14353" width="10" customWidth="1"/>
    <col min="14354" max="14592" width="7.5" customWidth="1"/>
    <col min="14593" max="14593" width="6.6640625" customWidth="1"/>
    <col min="14594" max="14594" width="11.6640625" customWidth="1"/>
    <col min="14595" max="14595" width="16.6640625" customWidth="1"/>
    <col min="14596" max="14597" width="11.6640625" customWidth="1"/>
    <col min="14598" max="14598" width="13.33203125" customWidth="1"/>
    <col min="14599" max="14599" width="14.1640625" customWidth="1"/>
    <col min="14600" max="14600" width="13.33203125" customWidth="1"/>
    <col min="14601" max="14601" width="14.1640625" customWidth="1"/>
    <col min="14602" max="14602" width="16.6640625" customWidth="1"/>
    <col min="14603" max="14603" width="17.5" customWidth="1"/>
    <col min="14604" max="14605" width="12.5" customWidth="1"/>
    <col min="14606" max="14606" width="9.1640625" customWidth="1"/>
    <col min="14607" max="14607" width="16.6640625" customWidth="1"/>
    <col min="14608" max="14608" width="12.5" customWidth="1"/>
    <col min="14609" max="14609" width="10" customWidth="1"/>
    <col min="14610" max="14848" width="7.5" customWidth="1"/>
    <col min="14849" max="14849" width="6.6640625" customWidth="1"/>
    <col min="14850" max="14850" width="11.6640625" customWidth="1"/>
    <col min="14851" max="14851" width="16.6640625" customWidth="1"/>
    <col min="14852" max="14853" width="11.6640625" customWidth="1"/>
    <col min="14854" max="14854" width="13.33203125" customWidth="1"/>
    <col min="14855" max="14855" width="14.1640625" customWidth="1"/>
    <col min="14856" max="14856" width="13.33203125" customWidth="1"/>
    <col min="14857" max="14857" width="14.1640625" customWidth="1"/>
    <col min="14858" max="14858" width="16.6640625" customWidth="1"/>
    <col min="14859" max="14859" width="17.5" customWidth="1"/>
    <col min="14860" max="14861" width="12.5" customWidth="1"/>
    <col min="14862" max="14862" width="9.1640625" customWidth="1"/>
    <col min="14863" max="14863" width="16.6640625" customWidth="1"/>
    <col min="14864" max="14864" width="12.5" customWidth="1"/>
    <col min="14865" max="14865" width="10" customWidth="1"/>
    <col min="14866" max="15104" width="7.5" customWidth="1"/>
    <col min="15105" max="15105" width="6.6640625" customWidth="1"/>
    <col min="15106" max="15106" width="11.6640625" customWidth="1"/>
    <col min="15107" max="15107" width="16.6640625" customWidth="1"/>
    <col min="15108" max="15109" width="11.6640625" customWidth="1"/>
    <col min="15110" max="15110" width="13.33203125" customWidth="1"/>
    <col min="15111" max="15111" width="14.1640625" customWidth="1"/>
    <col min="15112" max="15112" width="13.33203125" customWidth="1"/>
    <col min="15113" max="15113" width="14.1640625" customWidth="1"/>
    <col min="15114" max="15114" width="16.6640625" customWidth="1"/>
    <col min="15115" max="15115" width="17.5" customWidth="1"/>
    <col min="15116" max="15117" width="12.5" customWidth="1"/>
    <col min="15118" max="15118" width="9.1640625" customWidth="1"/>
    <col min="15119" max="15119" width="16.6640625" customWidth="1"/>
    <col min="15120" max="15120" width="12.5" customWidth="1"/>
    <col min="15121" max="15121" width="10" customWidth="1"/>
    <col min="15122" max="15360" width="7.5" customWidth="1"/>
    <col min="15361" max="15361" width="6.6640625" customWidth="1"/>
    <col min="15362" max="15362" width="11.6640625" customWidth="1"/>
    <col min="15363" max="15363" width="16.6640625" customWidth="1"/>
    <col min="15364" max="15365" width="11.6640625" customWidth="1"/>
    <col min="15366" max="15366" width="13.33203125" customWidth="1"/>
    <col min="15367" max="15367" width="14.1640625" customWidth="1"/>
    <col min="15368" max="15368" width="13.33203125" customWidth="1"/>
    <col min="15369" max="15369" width="14.1640625" customWidth="1"/>
    <col min="15370" max="15370" width="16.6640625" customWidth="1"/>
    <col min="15371" max="15371" width="17.5" customWidth="1"/>
    <col min="15372" max="15373" width="12.5" customWidth="1"/>
    <col min="15374" max="15374" width="9.1640625" customWidth="1"/>
    <col min="15375" max="15375" width="16.6640625" customWidth="1"/>
    <col min="15376" max="15376" width="12.5" customWidth="1"/>
    <col min="15377" max="15377" width="10" customWidth="1"/>
    <col min="15378" max="15616" width="7.5" customWidth="1"/>
    <col min="15617" max="15617" width="6.6640625" customWidth="1"/>
    <col min="15618" max="15618" width="11.6640625" customWidth="1"/>
    <col min="15619" max="15619" width="16.6640625" customWidth="1"/>
    <col min="15620" max="15621" width="11.6640625" customWidth="1"/>
    <col min="15622" max="15622" width="13.33203125" customWidth="1"/>
    <col min="15623" max="15623" width="14.1640625" customWidth="1"/>
    <col min="15624" max="15624" width="13.33203125" customWidth="1"/>
    <col min="15625" max="15625" width="14.1640625" customWidth="1"/>
    <col min="15626" max="15626" width="16.6640625" customWidth="1"/>
    <col min="15627" max="15627" width="17.5" customWidth="1"/>
    <col min="15628" max="15629" width="12.5" customWidth="1"/>
    <col min="15630" max="15630" width="9.1640625" customWidth="1"/>
    <col min="15631" max="15631" width="16.6640625" customWidth="1"/>
    <col min="15632" max="15632" width="12.5" customWidth="1"/>
    <col min="15633" max="15633" width="10" customWidth="1"/>
    <col min="15634" max="15872" width="7.5" customWidth="1"/>
    <col min="15873" max="15873" width="6.6640625" customWidth="1"/>
    <col min="15874" max="15874" width="11.6640625" customWidth="1"/>
    <col min="15875" max="15875" width="16.6640625" customWidth="1"/>
    <col min="15876" max="15877" width="11.6640625" customWidth="1"/>
    <col min="15878" max="15878" width="13.33203125" customWidth="1"/>
    <col min="15879" max="15879" width="14.1640625" customWidth="1"/>
    <col min="15880" max="15880" width="13.33203125" customWidth="1"/>
    <col min="15881" max="15881" width="14.1640625" customWidth="1"/>
    <col min="15882" max="15882" width="16.6640625" customWidth="1"/>
    <col min="15883" max="15883" width="17.5" customWidth="1"/>
    <col min="15884" max="15885" width="12.5" customWidth="1"/>
    <col min="15886" max="15886" width="9.1640625" customWidth="1"/>
    <col min="15887" max="15887" width="16.6640625" customWidth="1"/>
    <col min="15888" max="15888" width="12.5" customWidth="1"/>
    <col min="15889" max="15889" width="10" customWidth="1"/>
    <col min="15890" max="16128" width="7.5" customWidth="1"/>
    <col min="16129" max="16129" width="6.6640625" customWidth="1"/>
    <col min="16130" max="16130" width="11.6640625" customWidth="1"/>
    <col min="16131" max="16131" width="16.6640625" customWidth="1"/>
    <col min="16132" max="16133" width="11.6640625" customWidth="1"/>
    <col min="16134" max="16134" width="13.33203125" customWidth="1"/>
    <col min="16135" max="16135" width="14.1640625" customWidth="1"/>
    <col min="16136" max="16136" width="13.33203125" customWidth="1"/>
    <col min="16137" max="16137" width="14.1640625" customWidth="1"/>
    <col min="16138" max="16138" width="16.6640625" customWidth="1"/>
    <col min="16139" max="16139" width="17.5" customWidth="1"/>
    <col min="16140" max="16141" width="12.5" customWidth="1"/>
    <col min="16142" max="16142" width="9.1640625" customWidth="1"/>
    <col min="16143" max="16143" width="16.6640625" customWidth="1"/>
    <col min="16144" max="16144" width="12.5" customWidth="1"/>
    <col min="16145" max="16145" width="10" customWidth="1"/>
    <col min="16146" max="16384" width="7.5" customWidth="1"/>
  </cols>
  <sheetData>
    <row r="1" spans="1:19" ht="23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S1" s="1" t="s">
        <v>17</v>
      </c>
    </row>
    <row r="2" spans="1:19">
      <c r="A2" s="2">
        <v>40179</v>
      </c>
      <c r="B2" s="3">
        <v>0.23516662258064516</v>
      </c>
      <c r="C2" s="3">
        <v>0.23516662258064516</v>
      </c>
      <c r="D2" s="3">
        <v>0.23516662258064516</v>
      </c>
      <c r="E2" s="3">
        <v>5.8691483806451623E-2</v>
      </c>
      <c r="F2" s="4">
        <v>774.40456899999992</v>
      </c>
      <c r="G2" s="5">
        <v>26.446293500000003</v>
      </c>
      <c r="H2" s="4">
        <v>214.10505461004996</v>
      </c>
      <c r="I2" s="6">
        <v>7.1542183790426757</v>
      </c>
      <c r="J2" s="4">
        <v>1229.4666915226796</v>
      </c>
      <c r="K2" s="5">
        <v>41.986887273029282</v>
      </c>
      <c r="L2" s="4">
        <v>521.17751651447975</v>
      </c>
      <c r="M2" s="5">
        <v>12.796812753556374</v>
      </c>
      <c r="N2" s="5">
        <v>35.693868387199998</v>
      </c>
      <c r="O2" s="6">
        <v>8.5030280216299996</v>
      </c>
      <c r="P2" s="5">
        <v>-9.045806496774194</v>
      </c>
      <c r="Q2" s="5">
        <v>2.2497173833870973E-3</v>
      </c>
      <c r="S2" t="e">
        <f>100*(AVERAGE(#REF!)/AVERAGE(#REF!))</f>
        <v>#REF!</v>
      </c>
    </row>
    <row r="3" spans="1:19" ht="98" customHeight="1">
      <c r="A3" s="2">
        <v>40210</v>
      </c>
      <c r="B3" s="3">
        <v>0.14664201428571427</v>
      </c>
      <c r="C3" s="3">
        <v>0.14664201428571427</v>
      </c>
      <c r="D3" s="3">
        <v>0.14664201428571427</v>
      </c>
      <c r="E3" s="3">
        <v>3.4012431392857145E-2</v>
      </c>
      <c r="F3" s="4">
        <v>379.16209499999991</v>
      </c>
      <c r="G3" s="6">
        <v>9.8942503999999971</v>
      </c>
      <c r="H3" s="4">
        <v>102.1177745543482</v>
      </c>
      <c r="I3" s="6">
        <v>2.9186610805258089</v>
      </c>
      <c r="J3" s="4">
        <v>1068.7957281526051</v>
      </c>
      <c r="K3" s="5">
        <v>27.890268126284745</v>
      </c>
      <c r="L3" s="4">
        <v>416.58665547951563</v>
      </c>
      <c r="M3" s="5">
        <v>11.061351273669418</v>
      </c>
      <c r="N3" s="5">
        <v>39.364189414999991</v>
      </c>
      <c r="O3" s="6">
        <v>9.3827515219999995</v>
      </c>
      <c r="P3" s="5">
        <v>-6.9853572217857129</v>
      </c>
      <c r="Q3" s="5">
        <v>9.7254540590447508E-4</v>
      </c>
    </row>
    <row r="4" spans="1:19">
      <c r="A4" s="2">
        <v>40238</v>
      </c>
      <c r="B4" s="3">
        <v>0.49386191806451601</v>
      </c>
      <c r="C4" s="3">
        <v>0.49386191806451601</v>
      </c>
      <c r="D4" s="3">
        <v>0.49386191806451601</v>
      </c>
      <c r="E4" s="3">
        <v>0.20984607090322582</v>
      </c>
      <c r="F4" s="4">
        <v>2505.7322550000004</v>
      </c>
      <c r="G4" s="4">
        <v>258.69394817</v>
      </c>
      <c r="H4" s="4">
        <v>1246.7332987750128</v>
      </c>
      <c r="I4" s="5">
        <v>97.94925741041196</v>
      </c>
      <c r="J4" s="4">
        <v>1894.3213639505072</v>
      </c>
      <c r="K4" s="4">
        <v>195.57136621457039</v>
      </c>
      <c r="L4" s="4">
        <v>1193.5830105002065</v>
      </c>
      <c r="M4" s="5">
        <v>26.583421044303968</v>
      </c>
      <c r="N4" s="5">
        <v>46.734883571000005</v>
      </c>
      <c r="O4" s="5">
        <v>13.324131654999999</v>
      </c>
      <c r="P4" s="5">
        <v>-1.7296774132193553</v>
      </c>
      <c r="Q4" s="5">
        <v>3.595816056290322E-2</v>
      </c>
    </row>
    <row r="5" spans="1:19">
      <c r="A5" s="2">
        <v>40269</v>
      </c>
      <c r="B5" s="6">
        <v>2.0761575849999998</v>
      </c>
      <c r="C5" s="6">
        <v>2.0761575849999998</v>
      </c>
      <c r="D5" s="6">
        <v>2.0761575849999998</v>
      </c>
      <c r="E5" s="3">
        <v>0.79255266933333302</v>
      </c>
      <c r="F5" s="4">
        <v>8477.6914679999991</v>
      </c>
      <c r="G5" s="4">
        <v>446.77447049999995</v>
      </c>
      <c r="H5" s="4">
        <v>3362.9360156347848</v>
      </c>
      <c r="I5" s="4">
        <v>176.32420398116574</v>
      </c>
      <c r="J5" s="4">
        <v>1575.3689250869761</v>
      </c>
      <c r="K5" s="5">
        <v>83.021966153031229</v>
      </c>
      <c r="L5" s="4">
        <v>934.37206558043636</v>
      </c>
      <c r="M5" s="5">
        <v>19.686530259785393</v>
      </c>
      <c r="N5" s="5">
        <v>34.376195522700002</v>
      </c>
      <c r="O5" s="5">
        <v>27.414090900000001</v>
      </c>
      <c r="P5" s="5">
        <v>5.1516666470000008</v>
      </c>
      <c r="Q5" s="5">
        <v>3.4672260976666669</v>
      </c>
    </row>
    <row r="6" spans="1:19">
      <c r="A6" s="2">
        <v>40299</v>
      </c>
      <c r="B6" s="3">
        <v>0.45067556419354843</v>
      </c>
      <c r="C6" s="3">
        <v>0.45067556419354843</v>
      </c>
      <c r="D6" s="3">
        <v>0.45067556419354843</v>
      </c>
      <c r="E6" s="3">
        <v>8.5685177483870945E-2</v>
      </c>
      <c r="F6" s="4">
        <v>1108.9152020000001</v>
      </c>
      <c r="G6" s="5">
        <v>35.422535139999994</v>
      </c>
      <c r="H6" s="4">
        <v>265.00305411663248</v>
      </c>
      <c r="I6" s="6">
        <v>8.5424267393503435</v>
      </c>
      <c r="J6" s="4">
        <v>918.66858698652618</v>
      </c>
      <c r="K6" s="5">
        <v>29.345409370665646</v>
      </c>
      <c r="L6" s="4">
        <v>293.52251972032047</v>
      </c>
      <c r="M6" s="6">
        <v>7.1632214196874857</v>
      </c>
      <c r="N6" s="5">
        <v>49.681287270699997</v>
      </c>
      <c r="O6" s="5">
        <v>57.837975229999991</v>
      </c>
      <c r="P6" s="5">
        <v>10.609354841935483</v>
      </c>
      <c r="Q6" s="5">
        <v>12.322463090322579</v>
      </c>
    </row>
    <row r="7" spans="1:19">
      <c r="A7" s="2">
        <v>40330</v>
      </c>
      <c r="B7" s="3">
        <v>0.16462352133333333</v>
      </c>
      <c r="C7" s="3">
        <v>0.16462352133333333</v>
      </c>
      <c r="D7" s="3">
        <v>0.16462352133333333</v>
      </c>
      <c r="E7" s="3">
        <v>2.953961863333333E-2</v>
      </c>
      <c r="F7" s="4">
        <v>314.24198080000002</v>
      </c>
      <c r="G7" s="6">
        <v>8.3627149400000018</v>
      </c>
      <c r="H7" s="5">
        <v>74.768840083142081</v>
      </c>
      <c r="I7" s="6">
        <v>2.5870994912711445</v>
      </c>
      <c r="J7" s="4">
        <v>736.43987574453502</v>
      </c>
      <c r="K7" s="5">
        <v>19.598389667981127</v>
      </c>
      <c r="L7" s="5">
        <v>98.715662992295506</v>
      </c>
      <c r="M7" s="6">
        <v>3.7388709247895666</v>
      </c>
      <c r="N7" s="5">
        <v>39.489130785100002</v>
      </c>
      <c r="O7" s="5">
        <v>65.95812140000001</v>
      </c>
      <c r="P7" s="5">
        <v>14.493999900000004</v>
      </c>
      <c r="Q7" s="5">
        <v>16.701431833333334</v>
      </c>
    </row>
    <row r="8" spans="1:19">
      <c r="A8" s="2">
        <v>40360</v>
      </c>
      <c r="B8" s="3">
        <v>8.7805124903225812E-2</v>
      </c>
      <c r="C8" s="3">
        <v>8.7805124903225812E-2</v>
      </c>
      <c r="D8" s="3">
        <v>8.7805124903225812E-2</v>
      </c>
      <c r="E8" s="3">
        <v>2.0683621090322585E-2</v>
      </c>
      <c r="F8" s="4">
        <v>155.03387830000003</v>
      </c>
      <c r="G8" s="6">
        <v>4.615656819999999</v>
      </c>
      <c r="H8" s="5">
        <v>50.924175368711992</v>
      </c>
      <c r="I8" s="6">
        <v>3.0441938094949754</v>
      </c>
      <c r="J8" s="4">
        <v>659.221384294161</v>
      </c>
      <c r="K8" s="5">
        <v>19.626288976867627</v>
      </c>
      <c r="L8" s="5">
        <v>29.330287609360205</v>
      </c>
      <c r="M8" s="6">
        <v>2.8500533877709469</v>
      </c>
      <c r="N8" s="5">
        <v>65.299997379399997</v>
      </c>
      <c r="O8" s="5">
        <v>69.79004359999999</v>
      </c>
      <c r="P8" s="5">
        <v>20.328387064516132</v>
      </c>
      <c r="Q8" s="5">
        <v>22.916566709677419</v>
      </c>
    </row>
    <row r="9" spans="1:19">
      <c r="A9" s="2">
        <v>40391</v>
      </c>
      <c r="B9" s="3">
        <v>0.21286203996774192</v>
      </c>
      <c r="C9" s="3">
        <v>0.21286203996774192</v>
      </c>
      <c r="D9" s="3">
        <v>0.21286203996774192</v>
      </c>
      <c r="E9" s="3">
        <v>8.5035329677419363E-2</v>
      </c>
      <c r="F9" s="4">
        <v>450.59792419999997</v>
      </c>
      <c r="G9" s="5">
        <v>16.925775850000001</v>
      </c>
      <c r="H9" s="4">
        <v>252.53026550806791</v>
      </c>
      <c r="I9" s="6">
        <v>7.6362705934560466</v>
      </c>
      <c r="J9" s="4">
        <v>790.34282053478137</v>
      </c>
      <c r="K9" s="5">
        <v>29.687587675716578</v>
      </c>
      <c r="L9" s="4">
        <v>132.99896421323504</v>
      </c>
      <c r="M9" s="6">
        <v>9.6725006642324285</v>
      </c>
      <c r="N9" s="4">
        <v>121.39543079300002</v>
      </c>
      <c r="O9" s="5">
        <v>89.912877300000019</v>
      </c>
      <c r="P9" s="5">
        <v>16.197742000000002</v>
      </c>
      <c r="Q9" s="5">
        <v>18.287553806451609</v>
      </c>
    </row>
    <row r="10" spans="1:19">
      <c r="A10" s="2">
        <v>40422</v>
      </c>
      <c r="B10" s="3">
        <v>0.1723302115666667</v>
      </c>
      <c r="C10" s="3">
        <v>0.1723302115666667</v>
      </c>
      <c r="D10" s="3">
        <v>0.1723302115666667</v>
      </c>
      <c r="E10" s="3">
        <v>6.1002875166666665E-2</v>
      </c>
      <c r="F10" s="4">
        <v>392.87583190000009</v>
      </c>
      <c r="G10" s="5">
        <v>10.966840669999998</v>
      </c>
      <c r="H10" s="4">
        <v>192.79329007444491</v>
      </c>
      <c r="I10" s="6">
        <v>4.7488821906545615</v>
      </c>
      <c r="J10" s="4">
        <v>879.54662971919572</v>
      </c>
      <c r="K10" s="5">
        <v>24.55189905073728</v>
      </c>
      <c r="L10" s="4">
        <v>137.14570719364278</v>
      </c>
      <c r="M10" s="5">
        <v>10.539492067648192</v>
      </c>
      <c r="N10" s="5">
        <v>60.167815249699999</v>
      </c>
      <c r="O10" s="5">
        <v>48.209542619999993</v>
      </c>
      <c r="P10" s="5">
        <v>10.853666696666666</v>
      </c>
      <c r="Q10" s="5">
        <v>11.999066463333337</v>
      </c>
    </row>
    <row r="11" spans="1:19">
      <c r="A11" s="2">
        <v>40452</v>
      </c>
      <c r="B11" s="3">
        <v>0.14185504145161293</v>
      </c>
      <c r="C11" s="3">
        <v>0.14185504145161293</v>
      </c>
      <c r="D11" s="3">
        <v>0.14185504145161293</v>
      </c>
      <c r="E11" s="3">
        <v>4.5986260064516123E-2</v>
      </c>
      <c r="F11" s="4">
        <v>324.00427680000001</v>
      </c>
      <c r="G11" s="6">
        <v>9.0186822599999985</v>
      </c>
      <c r="H11" s="4">
        <v>135.58278613479675</v>
      </c>
      <c r="I11" s="6">
        <v>3.9488130100987604</v>
      </c>
      <c r="J11" s="4">
        <v>852.76722927626565</v>
      </c>
      <c r="K11" s="5">
        <v>23.736837066920543</v>
      </c>
      <c r="L11" s="4">
        <v>154.96530932273242</v>
      </c>
      <c r="M11" s="5">
        <v>11.760186170116876</v>
      </c>
      <c r="N11" s="5">
        <v>38.323005997999999</v>
      </c>
      <c r="O11" s="5">
        <v>23.036030420000007</v>
      </c>
      <c r="P11" s="5">
        <v>5.0558064514838712</v>
      </c>
      <c r="Q11" s="5">
        <v>5.0651005125806448</v>
      </c>
    </row>
    <row r="12" spans="1:19">
      <c r="A12" s="2">
        <v>40483</v>
      </c>
      <c r="B12" s="3">
        <v>0.55660084966666656</v>
      </c>
      <c r="C12" s="3">
        <v>0.55660084966666656</v>
      </c>
      <c r="D12" s="3">
        <v>0.55660084966666656</v>
      </c>
      <c r="E12" s="3">
        <v>0.22435506273333336</v>
      </c>
      <c r="F12" s="4">
        <v>2346.0944179999992</v>
      </c>
      <c r="G12" s="4">
        <v>114.79508086000001</v>
      </c>
      <c r="H12" s="4">
        <v>1173.2142443497996</v>
      </c>
      <c r="I12" s="5">
        <v>60.553800310039115</v>
      </c>
      <c r="J12" s="4">
        <v>1626.1724555955609</v>
      </c>
      <c r="K12" s="5">
        <v>79.569088666436173</v>
      </c>
      <c r="L12" s="4">
        <v>838.36958350922987</v>
      </c>
      <c r="M12" s="5">
        <v>22.07095276620138</v>
      </c>
      <c r="N12" s="5">
        <v>81.720945453300018</v>
      </c>
      <c r="O12" s="5">
        <v>21.913005051039999</v>
      </c>
      <c r="P12" s="5">
        <v>-1.3156666943399997</v>
      </c>
      <c r="Q12" s="5">
        <v>1.005747474808</v>
      </c>
    </row>
    <row r="13" spans="1:19">
      <c r="A13" s="2">
        <v>40513</v>
      </c>
      <c r="B13" s="3">
        <v>0.26351745741935484</v>
      </c>
      <c r="C13" s="3">
        <v>0.26351745741935484</v>
      </c>
      <c r="D13" s="3">
        <v>0.26351745741935484</v>
      </c>
      <c r="E13" s="3">
        <v>6.9543359064516141E-2</v>
      </c>
      <c r="F13" s="4">
        <v>1003.8418040000003</v>
      </c>
      <c r="G13" s="5">
        <v>37.274468430000006</v>
      </c>
      <c r="H13" s="4">
        <v>276.66033970822531</v>
      </c>
      <c r="I13" s="6">
        <v>9.9755608532088598</v>
      </c>
      <c r="J13" s="4">
        <v>1422.2646659828383</v>
      </c>
      <c r="K13" s="5">
        <v>52.811269557787256</v>
      </c>
      <c r="L13" s="4">
        <v>733.05941958360074</v>
      </c>
      <c r="M13" s="5">
        <v>17.233887034796172</v>
      </c>
      <c r="N13" s="5">
        <v>58.841897621000001</v>
      </c>
      <c r="O13" s="5">
        <v>14.017367834199998</v>
      </c>
      <c r="P13" s="5">
        <v>-8.1783871000000001</v>
      </c>
      <c r="Q13" s="5">
        <v>2.6145709303225803E-3</v>
      </c>
    </row>
    <row r="14" spans="1:19">
      <c r="A14" s="2">
        <v>40544</v>
      </c>
      <c r="B14" s="3">
        <v>0.30162982258064519</v>
      </c>
      <c r="C14" s="3">
        <v>0.30162982258064519</v>
      </c>
      <c r="D14" s="3">
        <v>0.30162982258064519</v>
      </c>
      <c r="E14" s="3">
        <v>0.10165679896774195</v>
      </c>
      <c r="F14" s="4">
        <v>1264.1306930000001</v>
      </c>
      <c r="G14" s="5">
        <v>52.109098860000003</v>
      </c>
      <c r="H14" s="4">
        <v>586.36734748178628</v>
      </c>
      <c r="I14" s="5">
        <v>30.164291335014088</v>
      </c>
      <c r="J14" s="4">
        <v>1564.7401977700954</v>
      </c>
      <c r="K14" s="5">
        <v>64.50061052794706</v>
      </c>
      <c r="L14" s="4">
        <v>901.19644246066116</v>
      </c>
      <c r="M14" s="5">
        <v>21.274781063708318</v>
      </c>
      <c r="N14" s="5">
        <v>42.865452160000004</v>
      </c>
      <c r="O14" s="5">
        <v>10.658121703199999</v>
      </c>
      <c r="P14" s="5">
        <v>-3.4177419116129024</v>
      </c>
      <c r="Q14" s="5">
        <v>2.5372685479387095E-2</v>
      </c>
    </row>
    <row r="15" spans="1:19">
      <c r="A15" s="2">
        <v>40575</v>
      </c>
      <c r="B15" s="3">
        <v>0.34810273392857144</v>
      </c>
      <c r="C15" s="3">
        <v>0.34810273392857144</v>
      </c>
      <c r="D15" s="3">
        <v>0.34810273392857144</v>
      </c>
      <c r="E15" s="3">
        <v>0.11762322428571424</v>
      </c>
      <c r="F15" s="4">
        <v>1656.195209</v>
      </c>
      <c r="G15" s="5">
        <v>73.061299999999989</v>
      </c>
      <c r="H15" s="4">
        <v>616.12271370840199</v>
      </c>
      <c r="I15" s="5">
        <v>29.081486352081448</v>
      </c>
      <c r="J15" s="4">
        <v>1966.6736318247654</v>
      </c>
      <c r="K15" s="5">
        <v>86.757726284238274</v>
      </c>
      <c r="L15" s="4">
        <v>1243.119484462394</v>
      </c>
      <c r="M15" s="5">
        <v>26.891082822035418</v>
      </c>
      <c r="N15" s="5">
        <v>35.352340752999993</v>
      </c>
      <c r="O15" s="6">
        <v>8.6905583801999988</v>
      </c>
      <c r="P15" s="5">
        <v>-6.7557143196428564</v>
      </c>
      <c r="Q15" s="5">
        <v>3.8858021368285721E-2</v>
      </c>
    </row>
    <row r="16" spans="1:19">
      <c r="A16" s="2">
        <v>40603</v>
      </c>
      <c r="B16" s="3">
        <v>0.77542619225806442</v>
      </c>
      <c r="C16" s="3">
        <v>0.77542619225806442</v>
      </c>
      <c r="D16" s="3">
        <v>0.77542619225806442</v>
      </c>
      <c r="E16" s="3">
        <v>0.32498452974193553</v>
      </c>
      <c r="F16" s="4">
        <v>4146.5223850000002</v>
      </c>
      <c r="G16" s="4">
        <v>344.47746559000001</v>
      </c>
      <c r="H16" s="4">
        <v>1856.5934944977462</v>
      </c>
      <c r="I16" s="4">
        <v>130.87137980232256</v>
      </c>
      <c r="J16" s="4">
        <v>1996.4943696219</v>
      </c>
      <c r="K16" s="4">
        <v>165.86123469191241</v>
      </c>
      <c r="L16" s="4">
        <v>1257.5268039960988</v>
      </c>
      <c r="M16" s="5">
        <v>26.555247186109856</v>
      </c>
      <c r="N16" s="5">
        <v>19.780535644699999</v>
      </c>
      <c r="O16" s="6">
        <v>7.2331953424000002</v>
      </c>
      <c r="P16" s="5">
        <v>-3.2258071935484002E-2</v>
      </c>
      <c r="Q16" s="5">
        <v>0.15669661319354841</v>
      </c>
    </row>
    <row r="17" spans="1:17">
      <c r="A17" s="2">
        <v>40634</v>
      </c>
      <c r="B17" s="6">
        <v>1.6407475813333328</v>
      </c>
      <c r="C17" s="6">
        <v>1.6407475813333328</v>
      </c>
      <c r="D17" s="6">
        <v>1.6407475813333328</v>
      </c>
      <c r="E17" s="3">
        <v>0.58858875880000006</v>
      </c>
      <c r="F17" s="4">
        <v>6157.5239560000009</v>
      </c>
      <c r="G17" s="4">
        <v>289.27043070000008</v>
      </c>
      <c r="H17" s="4">
        <v>2355.7518065410513</v>
      </c>
      <c r="I17" s="4">
        <v>106.72134474320013</v>
      </c>
      <c r="J17" s="4">
        <v>1447.8691694009376</v>
      </c>
      <c r="K17" s="5">
        <v>68.018532647358811</v>
      </c>
      <c r="L17" s="4">
        <v>791.27690788476411</v>
      </c>
      <c r="M17" s="5">
        <v>15.407440148069893</v>
      </c>
      <c r="N17" s="5">
        <v>12.336792948699999</v>
      </c>
      <c r="O17" s="5">
        <v>34.034129790000001</v>
      </c>
      <c r="P17" s="5">
        <v>8.0366666633333335</v>
      </c>
      <c r="Q17" s="5">
        <v>7.1752253743333334</v>
      </c>
    </row>
    <row r="18" spans="1:17">
      <c r="A18" s="2">
        <v>40664</v>
      </c>
      <c r="B18" s="3">
        <v>0.26782678064516124</v>
      </c>
      <c r="C18" s="3">
        <v>0.26782678064516124</v>
      </c>
      <c r="D18" s="3">
        <v>0.26782678064516124</v>
      </c>
      <c r="E18" s="3">
        <v>3.9689190000000013E-2</v>
      </c>
      <c r="F18" s="4">
        <v>601.08091570000022</v>
      </c>
      <c r="G18" s="5">
        <v>15.547669129999999</v>
      </c>
      <c r="H18" s="4">
        <v>114.15112046075143</v>
      </c>
      <c r="I18" s="6">
        <v>3.7690099914943569</v>
      </c>
      <c r="J18" s="4">
        <v>837.92179443593182</v>
      </c>
      <c r="K18" s="5">
        <v>21.673838567432579</v>
      </c>
      <c r="L18" s="4">
        <v>201.024417853834</v>
      </c>
      <c r="M18" s="6">
        <v>4.7342259317829605</v>
      </c>
      <c r="N18" s="5">
        <v>30.324211807600005</v>
      </c>
      <c r="O18" s="5">
        <v>50.130610340000004</v>
      </c>
      <c r="P18" s="5">
        <v>11.33064514516129</v>
      </c>
      <c r="Q18" s="5">
        <v>12.967941335483873</v>
      </c>
    </row>
    <row r="19" spans="1:17">
      <c r="A19" s="2">
        <v>40695</v>
      </c>
      <c r="B19" s="3">
        <v>0.10739605816666667</v>
      </c>
      <c r="C19" s="3">
        <v>0.10739605816666667</v>
      </c>
      <c r="D19" s="3">
        <v>0.10739605816666667</v>
      </c>
      <c r="E19" s="3">
        <v>1.7631245199999999E-2</v>
      </c>
      <c r="F19" s="4">
        <v>200.1518638</v>
      </c>
      <c r="G19" s="6">
        <v>4.9421163199999985</v>
      </c>
      <c r="H19" s="5">
        <v>41.383219285104666</v>
      </c>
      <c r="I19" s="6">
        <v>1.7328673290132246</v>
      </c>
      <c r="J19" s="4">
        <v>719.01223735379722</v>
      </c>
      <c r="K19" s="5">
        <v>17.753729857816388</v>
      </c>
      <c r="L19" s="5">
        <v>71.825946907493076</v>
      </c>
      <c r="M19" s="6">
        <v>2.4311577093934136</v>
      </c>
      <c r="N19" s="5">
        <v>55.320634789999993</v>
      </c>
      <c r="O19" s="5">
        <v>67.013202300000003</v>
      </c>
      <c r="P19" s="5">
        <v>16.611999900000004</v>
      </c>
      <c r="Q19" s="5">
        <v>18.9716627</v>
      </c>
    </row>
    <row r="20" spans="1:17">
      <c r="A20" s="2">
        <v>40725</v>
      </c>
      <c r="B20" s="3">
        <v>5.113886977419356E-2</v>
      </c>
      <c r="C20" s="3">
        <v>5.113886977419356E-2</v>
      </c>
      <c r="D20" s="3">
        <v>5.113886977419356E-2</v>
      </c>
      <c r="E20" s="3">
        <v>8.8699529032258053E-3</v>
      </c>
      <c r="F20" s="5">
        <v>89.852304599999982</v>
      </c>
      <c r="G20" s="6">
        <v>2.5407502229999999</v>
      </c>
      <c r="H20" s="5">
        <v>18.437498590676238</v>
      </c>
      <c r="I20" s="3">
        <v>0.9824951688855722</v>
      </c>
      <c r="J20" s="4">
        <v>655.99819651116218</v>
      </c>
      <c r="K20" s="5">
        <v>18.549636017136123</v>
      </c>
      <c r="L20" s="5">
        <v>17.376849830036612</v>
      </c>
      <c r="M20" s="6">
        <v>4.1862671541783918</v>
      </c>
      <c r="N20" s="5">
        <v>25.987823015</v>
      </c>
      <c r="O20" s="5">
        <v>55.057479900000004</v>
      </c>
      <c r="P20" s="5">
        <v>18.419354709677421</v>
      </c>
      <c r="Q20" s="5">
        <v>21.070895193548385</v>
      </c>
    </row>
    <row r="21" spans="1:17">
      <c r="A21" s="2">
        <v>40756</v>
      </c>
      <c r="B21" s="3">
        <v>9.0783841903225804E-2</v>
      </c>
      <c r="C21" s="3">
        <v>9.0783841903225804E-2</v>
      </c>
      <c r="D21" s="3">
        <v>9.0783841903225804E-2</v>
      </c>
      <c r="E21" s="3">
        <v>3.3543384441935477E-2</v>
      </c>
      <c r="F21" s="4">
        <v>161.56442709999999</v>
      </c>
      <c r="G21" s="6">
        <v>7.2542226419999976</v>
      </c>
      <c r="H21" s="5">
        <v>83.979843849766553</v>
      </c>
      <c r="I21" s="6">
        <v>4.5059179622881835</v>
      </c>
      <c r="J21" s="4">
        <v>664.44911826601935</v>
      </c>
      <c r="K21" s="5">
        <v>29.833683398966535</v>
      </c>
      <c r="L21" s="4">
        <v>107.59288387020879</v>
      </c>
      <c r="M21" s="5">
        <v>14.105588918060965</v>
      </c>
      <c r="N21" s="4">
        <v>107.55420650800001</v>
      </c>
      <c r="O21" s="5">
        <v>71.90310740000001</v>
      </c>
      <c r="P21" s="5">
        <v>16.295806645161289</v>
      </c>
      <c r="Q21" s="5">
        <v>18.555901322580645</v>
      </c>
    </row>
    <row r="22" spans="1:17">
      <c r="A22" s="2">
        <v>40787</v>
      </c>
      <c r="B22" s="3">
        <v>0.20549610926666662</v>
      </c>
      <c r="C22" s="3">
        <v>0.20549610926666662</v>
      </c>
      <c r="D22" s="3">
        <v>0.20549610926666662</v>
      </c>
      <c r="E22" s="3">
        <v>8.9203043900000015E-2</v>
      </c>
      <c r="F22" s="4">
        <v>513.70112280000001</v>
      </c>
      <c r="G22" s="5">
        <v>16.382583830000002</v>
      </c>
      <c r="H22" s="4">
        <v>319.46585585679469</v>
      </c>
      <c r="I22" s="6">
        <v>6.5642693852275658</v>
      </c>
      <c r="J22" s="4">
        <v>964.43264763540014</v>
      </c>
      <c r="K22" s="5">
        <v>30.75698662360869</v>
      </c>
      <c r="L22" s="4">
        <v>161.56771102059892</v>
      </c>
      <c r="M22" s="5">
        <v>13.846630716580542</v>
      </c>
      <c r="N22" s="5">
        <v>86.176320785599984</v>
      </c>
      <c r="O22" s="5">
        <v>60.595020889999994</v>
      </c>
      <c r="P22" s="5">
        <v>12.928999946666664</v>
      </c>
      <c r="Q22" s="5">
        <v>13.746273466666667</v>
      </c>
    </row>
    <row r="23" spans="1:17">
      <c r="A23" s="2">
        <v>40817</v>
      </c>
      <c r="B23" s="3">
        <v>0.20695462096774192</v>
      </c>
      <c r="C23" s="3">
        <v>0.20695462096774192</v>
      </c>
      <c r="D23" s="3">
        <v>0.20695462096774192</v>
      </c>
      <c r="E23" s="3">
        <v>7.9804457645161322E-2</v>
      </c>
      <c r="F23" s="4">
        <v>557.75407280000002</v>
      </c>
      <c r="G23" s="5">
        <v>14.44915428</v>
      </c>
      <c r="H23" s="4">
        <v>273.38442346399</v>
      </c>
      <c r="I23" s="6">
        <v>6.9423587557257678</v>
      </c>
      <c r="J23" s="4">
        <v>1006.2181948862483</v>
      </c>
      <c r="K23" s="5">
        <v>26.067047490689447</v>
      </c>
      <c r="L23" s="4">
        <v>153.53562106798466</v>
      </c>
      <c r="M23" s="5">
        <v>10.606787095636614</v>
      </c>
      <c r="N23" s="5">
        <v>59.727090377000003</v>
      </c>
      <c r="O23" s="5">
        <v>34.74093718000001</v>
      </c>
      <c r="P23" s="5">
        <v>7.3564516193548375</v>
      </c>
      <c r="Q23" s="5">
        <v>7.6793970774193543</v>
      </c>
    </row>
    <row r="24" spans="1:17">
      <c r="A24" s="2">
        <v>40848</v>
      </c>
      <c r="B24" s="3">
        <v>0.13408508443333333</v>
      </c>
      <c r="C24" s="3">
        <v>0.13408508443333333</v>
      </c>
      <c r="D24" s="3">
        <v>0.13408508443333333</v>
      </c>
      <c r="E24" s="3">
        <v>4.2214794900000005E-2</v>
      </c>
      <c r="F24" s="4">
        <v>316.82383040000008</v>
      </c>
      <c r="G24" s="6">
        <v>8.3944658799999985</v>
      </c>
      <c r="H24" s="4">
        <v>127.90053794510125</v>
      </c>
      <c r="I24" s="6">
        <v>3.7653782289701589</v>
      </c>
      <c r="J24" s="4">
        <v>911.59586492043729</v>
      </c>
      <c r="K24" s="5">
        <v>24.153361218292559</v>
      </c>
      <c r="L24" s="4">
        <v>173.02536953674689</v>
      </c>
      <c r="M24" s="5">
        <v>11.360297485230863</v>
      </c>
      <c r="N24" s="5">
        <v>28.31865595</v>
      </c>
      <c r="O24" s="5">
        <v>17.895143704300001</v>
      </c>
      <c r="P24" s="5">
        <v>4.8026666603333323</v>
      </c>
      <c r="Q24" s="5">
        <v>4.2648977033333333</v>
      </c>
    </row>
    <row r="25" spans="1:17">
      <c r="A25" s="2">
        <v>40878</v>
      </c>
      <c r="B25" s="3">
        <v>0.80379267322580639</v>
      </c>
      <c r="C25" s="3">
        <v>0.80379267322580639</v>
      </c>
      <c r="D25" s="3">
        <v>0.80379267322580639</v>
      </c>
      <c r="E25" s="3">
        <v>0.33982219706451616</v>
      </c>
      <c r="F25" s="4">
        <v>3975.5404560000002</v>
      </c>
      <c r="G25" s="4">
        <v>203.30389632999999</v>
      </c>
      <c r="H25" s="4">
        <v>1976.3504249698008</v>
      </c>
      <c r="I25" s="5">
        <v>96.674764942473985</v>
      </c>
      <c r="J25" s="4">
        <v>1846.6163622131519</v>
      </c>
      <c r="K25" s="5">
        <v>94.433526013545233</v>
      </c>
      <c r="L25" s="4">
        <v>987.9722837131053</v>
      </c>
      <c r="M25" s="5">
        <v>22.860267773956945</v>
      </c>
      <c r="N25" s="5">
        <v>81.119907994999991</v>
      </c>
      <c r="O25" s="5">
        <v>22.886527113000007</v>
      </c>
      <c r="P25" s="5">
        <v>1.2745161274516132</v>
      </c>
      <c r="Q25" s="5">
        <v>1.0041170399774193</v>
      </c>
    </row>
    <row r="26" spans="1:17">
      <c r="A26" s="2">
        <v>40909</v>
      </c>
      <c r="B26" s="3">
        <v>0.92332499741935481</v>
      </c>
      <c r="C26" s="3">
        <v>0.92332499741935481</v>
      </c>
      <c r="D26" s="3">
        <v>0.92332499741935481</v>
      </c>
      <c r="E26" s="3">
        <v>0.31210369516129044</v>
      </c>
      <c r="F26" s="4">
        <v>4237.5696050000006</v>
      </c>
      <c r="G26" s="4">
        <v>198.57569279999998</v>
      </c>
      <c r="H26" s="4">
        <v>1618.0987336718804</v>
      </c>
      <c r="I26" s="5">
        <v>74.709318857714067</v>
      </c>
      <c r="J26" s="4">
        <v>1713.5106112773342</v>
      </c>
      <c r="K26" s="5">
        <v>80.296393116437272</v>
      </c>
      <c r="L26" s="4">
        <v>871.60487391263052</v>
      </c>
      <c r="M26" s="5">
        <v>18.679508263131311</v>
      </c>
      <c r="N26" s="5">
        <v>52.084315944000004</v>
      </c>
      <c r="O26" s="5">
        <v>13.1072002519</v>
      </c>
      <c r="P26" s="5">
        <v>-2.306451608741936</v>
      </c>
      <c r="Q26" s="5">
        <v>7.0064206052580638E-2</v>
      </c>
    </row>
    <row r="27" spans="1:17">
      <c r="A27" s="2">
        <v>40940</v>
      </c>
      <c r="B27" s="3">
        <v>0.52048314862068967</v>
      </c>
      <c r="C27" s="3">
        <v>0.52048314862068967</v>
      </c>
      <c r="D27" s="3">
        <v>0.52048314862068967</v>
      </c>
      <c r="E27" s="3">
        <v>0.17557731544827584</v>
      </c>
      <c r="F27" s="4">
        <v>2080.124307</v>
      </c>
      <c r="G27" s="5">
        <v>88.220059570000004</v>
      </c>
      <c r="H27" s="4">
        <v>878.23972325930549</v>
      </c>
      <c r="I27" s="5">
        <v>45.284124087548641</v>
      </c>
      <c r="J27" s="4">
        <v>1595.0373472250321</v>
      </c>
      <c r="K27" s="5">
        <v>67.647056737295884</v>
      </c>
      <c r="L27" s="4">
        <v>845.27374878775777</v>
      </c>
      <c r="M27" s="5">
        <v>18.376172468972602</v>
      </c>
      <c r="N27" s="5">
        <v>60.317695061800009</v>
      </c>
      <c r="O27" s="5">
        <v>15.505959736700001</v>
      </c>
      <c r="P27" s="5">
        <v>-4.553103426896552</v>
      </c>
      <c r="Q27" s="5">
        <v>1.7699146520834486E-2</v>
      </c>
    </row>
    <row r="28" spans="1:17">
      <c r="A28" s="2">
        <v>40969</v>
      </c>
      <c r="B28" s="3">
        <v>0.94165029354838692</v>
      </c>
      <c r="C28" s="3">
        <v>0.94165029354838692</v>
      </c>
      <c r="D28" s="3">
        <v>0.94165029354838692</v>
      </c>
      <c r="E28" s="3">
        <v>0.33325245609677406</v>
      </c>
      <c r="F28" s="4">
        <v>4191.9745839999996</v>
      </c>
      <c r="G28" s="4">
        <v>222.15209010000007</v>
      </c>
      <c r="H28" s="4">
        <v>1537.5818207509114</v>
      </c>
      <c r="I28" s="5">
        <v>74.934369950616315</v>
      </c>
      <c r="J28" s="4">
        <v>1662.0861529759759</v>
      </c>
      <c r="K28" s="5">
        <v>88.081620725838889</v>
      </c>
      <c r="L28" s="4">
        <v>908.46508884670095</v>
      </c>
      <c r="M28" s="5">
        <v>18.822277763912975</v>
      </c>
      <c r="N28" s="5">
        <v>20.541905911000001</v>
      </c>
      <c r="O28" s="5">
        <v>17.582111028</v>
      </c>
      <c r="P28" s="5">
        <v>3.2138709809677422</v>
      </c>
      <c r="Q28" s="5">
        <v>2.5569149260596777</v>
      </c>
    </row>
    <row r="29" spans="1:17">
      <c r="A29" s="2">
        <v>41000</v>
      </c>
      <c r="B29" s="6">
        <v>1.0587645376666666</v>
      </c>
      <c r="C29" s="6">
        <v>1.0587645376666666</v>
      </c>
      <c r="D29" s="6">
        <v>1.0587645376666666</v>
      </c>
      <c r="E29" s="3">
        <v>0.38101764533333338</v>
      </c>
      <c r="F29" s="4">
        <v>3972.3324030000003</v>
      </c>
      <c r="G29" s="4">
        <v>248.83270910000002</v>
      </c>
      <c r="H29" s="4">
        <v>1592.5820527116484</v>
      </c>
      <c r="I29" s="4">
        <v>101.73716290617648</v>
      </c>
      <c r="J29" s="4">
        <v>1447.4753503351462</v>
      </c>
      <c r="K29" s="5">
        <v>90.671972686063015</v>
      </c>
      <c r="L29" s="4">
        <v>754.74594035793314</v>
      </c>
      <c r="M29" s="5">
        <v>16.727080395787485</v>
      </c>
      <c r="N29" s="5">
        <v>75.548446522999996</v>
      </c>
      <c r="O29" s="5">
        <v>34.46766846780001</v>
      </c>
      <c r="P29" s="5">
        <v>4.2626666890000005</v>
      </c>
      <c r="Q29" s="5">
        <v>4.6953501566666667</v>
      </c>
    </row>
    <row r="30" spans="1:17">
      <c r="A30" s="2">
        <v>41030</v>
      </c>
      <c r="B30" s="3">
        <v>0.41247909677419353</v>
      </c>
      <c r="C30" s="3">
        <v>0.41247909677419353</v>
      </c>
      <c r="D30" s="3">
        <v>0.41247909677419353</v>
      </c>
      <c r="E30" s="3">
        <v>9.5226104580645135E-2</v>
      </c>
      <c r="F30" s="4">
        <v>1268.758194</v>
      </c>
      <c r="G30" s="5">
        <v>53.854437320000009</v>
      </c>
      <c r="H30" s="4">
        <v>343.40292745153005</v>
      </c>
      <c r="I30" s="5">
        <v>14.112728138672734</v>
      </c>
      <c r="J30" s="4">
        <v>1148.4218897728574</v>
      </c>
      <c r="K30" s="5">
        <v>48.746573204475105</v>
      </c>
      <c r="L30" s="4">
        <v>452.64838224363075</v>
      </c>
      <c r="M30" s="5">
        <v>11.113607801595288</v>
      </c>
      <c r="N30" s="5">
        <v>40.299131056</v>
      </c>
      <c r="O30" s="5">
        <v>57.289396709999998</v>
      </c>
      <c r="P30" s="5">
        <v>11.26354839032258</v>
      </c>
      <c r="Q30" s="5">
        <v>13.012706858064515</v>
      </c>
    </row>
    <row r="31" spans="1:17">
      <c r="A31" s="2">
        <v>41061</v>
      </c>
      <c r="B31" s="3">
        <v>0.43262888366666669</v>
      </c>
      <c r="C31" s="3">
        <v>0.43262888366666669</v>
      </c>
      <c r="D31" s="3">
        <v>0.43262888366666669</v>
      </c>
      <c r="E31" s="3">
        <v>0.15012388076666666</v>
      </c>
      <c r="F31" s="4">
        <v>1186.0878679999998</v>
      </c>
      <c r="G31" s="5">
        <v>53.913934809999986</v>
      </c>
      <c r="H31" s="4">
        <v>538.96289187805917</v>
      </c>
      <c r="I31" s="5">
        <v>26.357644928437896</v>
      </c>
      <c r="J31" s="4">
        <v>1057.709318651524</v>
      </c>
      <c r="K31" s="5">
        <v>48.078454508653344</v>
      </c>
      <c r="L31" s="4">
        <v>359.04168032976344</v>
      </c>
      <c r="M31" s="5">
        <v>10.61112986703079</v>
      </c>
      <c r="N31" s="4">
        <v>120.08377994199995</v>
      </c>
      <c r="O31" s="5">
        <v>86.126961800000004</v>
      </c>
      <c r="P31" s="5">
        <v>13.09066666</v>
      </c>
      <c r="Q31" s="5">
        <v>14.951310266666667</v>
      </c>
    </row>
    <row r="32" spans="1:17">
      <c r="A32" s="2">
        <v>41091</v>
      </c>
      <c r="B32" s="3">
        <v>0.19842027645161292</v>
      </c>
      <c r="C32" s="3">
        <v>0.19842027645161292</v>
      </c>
      <c r="D32" s="3">
        <v>0.19842027645161292</v>
      </c>
      <c r="E32" s="3">
        <v>4.9103791032258051E-2</v>
      </c>
      <c r="F32" s="4">
        <v>527.37211980000006</v>
      </c>
      <c r="G32" s="5">
        <v>22.233217539999998</v>
      </c>
      <c r="H32" s="4">
        <v>147.71475449150742</v>
      </c>
      <c r="I32" s="6">
        <v>5.331510781887034</v>
      </c>
      <c r="J32" s="4">
        <v>992.32895089082103</v>
      </c>
      <c r="K32" s="5">
        <v>41.835099628588971</v>
      </c>
      <c r="L32" s="4">
        <v>269.91456211136716</v>
      </c>
      <c r="M32" s="6">
        <v>8.9928463395415115</v>
      </c>
      <c r="N32" s="5">
        <v>70.826595023999985</v>
      </c>
      <c r="O32" s="5">
        <v>86.906226900000007</v>
      </c>
      <c r="P32" s="5">
        <v>16.83709683870968</v>
      </c>
      <c r="Q32" s="5">
        <v>19.027448935483871</v>
      </c>
    </row>
    <row r="33" spans="1:17">
      <c r="A33" s="2">
        <v>41122</v>
      </c>
      <c r="B33" s="3">
        <v>0.20813214225806451</v>
      </c>
      <c r="C33" s="3">
        <v>0.20813214225806451</v>
      </c>
      <c r="D33" s="3">
        <v>0.20813214225806451</v>
      </c>
      <c r="E33" s="3">
        <v>8.0797859096774199E-2</v>
      </c>
      <c r="F33" s="4">
        <v>460.30491940000002</v>
      </c>
      <c r="G33" s="5">
        <v>18.251689329999998</v>
      </c>
      <c r="H33" s="4">
        <v>247.5409805005618</v>
      </c>
      <c r="I33" s="5">
        <v>14.741270881020522</v>
      </c>
      <c r="J33" s="4">
        <v>825.71657313628884</v>
      </c>
      <c r="K33" s="5">
        <v>32.740737091309185</v>
      </c>
      <c r="L33" s="4">
        <v>130.21035209785578</v>
      </c>
      <c r="M33" s="6">
        <v>8.0897039639490895</v>
      </c>
      <c r="N33" s="4">
        <v>143.77073409600001</v>
      </c>
      <c r="O33" s="5">
        <v>93.275992000000002</v>
      </c>
      <c r="P33" s="5">
        <v>15.830322677419352</v>
      </c>
      <c r="Q33" s="5">
        <v>17.737329290322577</v>
      </c>
    </row>
    <row r="34" spans="1:17">
      <c r="A34" s="2">
        <v>41153</v>
      </c>
      <c r="B34" s="3">
        <v>0.70886986233333327</v>
      </c>
      <c r="C34" s="3">
        <v>0.70886986233333327</v>
      </c>
      <c r="D34" s="3">
        <v>0.70886986233333327</v>
      </c>
      <c r="E34" s="3">
        <v>0.27562909736666674</v>
      </c>
      <c r="F34" s="4">
        <v>2624.8453820000004</v>
      </c>
      <c r="G34" s="4">
        <v>181.59691640000008</v>
      </c>
      <c r="H34" s="4">
        <v>1275.7608318046171</v>
      </c>
      <c r="I34" s="5">
        <v>73.193898813667261</v>
      </c>
      <c r="J34" s="4">
        <v>1428.5721990853247</v>
      </c>
      <c r="K34" s="5">
        <v>98.834129968566316</v>
      </c>
      <c r="L34" s="4">
        <v>679.06053258912323</v>
      </c>
      <c r="M34" s="5">
        <v>18.439419103088813</v>
      </c>
      <c r="N34" s="5">
        <v>80.147303613199995</v>
      </c>
      <c r="O34" s="5">
        <v>57.337841860000012</v>
      </c>
      <c r="P34" s="5">
        <v>11.506333343333335</v>
      </c>
      <c r="Q34" s="5">
        <v>12.214201053333332</v>
      </c>
    </row>
    <row r="35" spans="1:17">
      <c r="A35" s="2">
        <v>41183</v>
      </c>
      <c r="B35" s="3">
        <v>0.83238799838709687</v>
      </c>
      <c r="C35" s="3">
        <v>0.83238799838709687</v>
      </c>
      <c r="D35" s="3">
        <v>0.83238799838709687</v>
      </c>
      <c r="E35" s="3">
        <v>0.3070184748387097</v>
      </c>
      <c r="F35" s="4">
        <v>3371.2476280000005</v>
      </c>
      <c r="G35" s="4">
        <v>189.07984800000003</v>
      </c>
      <c r="H35" s="4">
        <v>1432.0306191988407</v>
      </c>
      <c r="I35" s="5">
        <v>77.835347594913273</v>
      </c>
      <c r="J35" s="4">
        <v>1512.1309220049793</v>
      </c>
      <c r="K35" s="5">
        <v>84.809397893905597</v>
      </c>
      <c r="L35" s="4">
        <v>743.09273076016643</v>
      </c>
      <c r="M35" s="5">
        <v>19.421707833143799</v>
      </c>
      <c r="N35" s="5">
        <v>73.963077532900002</v>
      </c>
      <c r="O35" s="5">
        <v>34.023823798000002</v>
      </c>
      <c r="P35" s="5">
        <v>5.6180644861290343</v>
      </c>
      <c r="Q35" s="5">
        <v>6.0137497293548385</v>
      </c>
    </row>
    <row r="36" spans="1:17">
      <c r="A36" s="2">
        <v>41214</v>
      </c>
      <c r="B36" s="3">
        <v>0.74966030166666675</v>
      </c>
      <c r="C36" s="3">
        <v>0.74966030166666675</v>
      </c>
      <c r="D36" s="3">
        <v>0.74966030166666675</v>
      </c>
      <c r="E36" s="3">
        <v>0.24542599233333331</v>
      </c>
      <c r="F36" s="4">
        <v>2731.9476979999999</v>
      </c>
      <c r="G36" s="4">
        <v>136.6224393</v>
      </c>
      <c r="H36" s="4">
        <v>1057.8379054830089</v>
      </c>
      <c r="I36" s="5">
        <v>54.315988863794708</v>
      </c>
      <c r="J36" s="4">
        <v>1405.9595821828871</v>
      </c>
      <c r="K36" s="5">
        <v>70.310872492180536</v>
      </c>
      <c r="L36" s="4">
        <v>657.38403504468567</v>
      </c>
      <c r="M36" s="5">
        <v>16.992476136504941</v>
      </c>
      <c r="N36" s="5">
        <v>56.309175416400002</v>
      </c>
      <c r="O36" s="5">
        <v>22.042139976000001</v>
      </c>
      <c r="P36" s="5">
        <v>3.4990000363333338</v>
      </c>
      <c r="Q36" s="5">
        <v>2.8647490638333335</v>
      </c>
    </row>
    <row r="37" spans="1:17">
      <c r="A37" s="2">
        <v>41244</v>
      </c>
      <c r="B37" s="3">
        <v>0.52692666451612902</v>
      </c>
      <c r="C37" s="3">
        <v>0.52692666451612902</v>
      </c>
      <c r="D37" s="3">
        <v>0.52692666451612902</v>
      </c>
      <c r="E37" s="3">
        <v>0.15278115345161292</v>
      </c>
      <c r="F37" s="4">
        <v>2036.6122520000006</v>
      </c>
      <c r="G37" s="5">
        <v>97.89794839999999</v>
      </c>
      <c r="H37" s="4">
        <v>712.3664247659151</v>
      </c>
      <c r="I37" s="5">
        <v>35.072832731841977</v>
      </c>
      <c r="J37" s="4">
        <v>1443.0544545634573</v>
      </c>
      <c r="K37" s="5">
        <v>69.366209494130501</v>
      </c>
      <c r="L37" s="4">
        <v>739.03251868228892</v>
      </c>
      <c r="M37" s="5">
        <v>17.40299376301471</v>
      </c>
      <c r="N37" s="5">
        <v>91.290105260000004</v>
      </c>
      <c r="O37" s="5">
        <v>22.040689519000001</v>
      </c>
      <c r="P37" s="5">
        <v>-4.6445160770967737</v>
      </c>
      <c r="Q37" s="5">
        <v>3.1026098923817417E-2</v>
      </c>
    </row>
    <row r="38" spans="1:17">
      <c r="A38" s="2">
        <v>41275</v>
      </c>
      <c r="B38" s="3">
        <v>0.64670320419354865</v>
      </c>
      <c r="C38" s="3">
        <v>0.64670320419354865</v>
      </c>
      <c r="D38" s="3">
        <v>0.64670320419354865</v>
      </c>
      <c r="E38" s="3">
        <v>0.22318120761290325</v>
      </c>
      <c r="F38" s="4">
        <v>2927.2270730000005</v>
      </c>
      <c r="G38" s="4">
        <v>159.03770590000002</v>
      </c>
      <c r="H38" s="4">
        <v>1167.5631539185322</v>
      </c>
      <c r="I38" s="5">
        <v>64.921013648132316</v>
      </c>
      <c r="J38" s="4">
        <v>1689.9581336505771</v>
      </c>
      <c r="K38" s="5">
        <v>91.81626640278904</v>
      </c>
      <c r="L38" s="4">
        <v>986.94579991692183</v>
      </c>
      <c r="M38" s="5">
        <v>21.548672844534721</v>
      </c>
      <c r="N38" s="5">
        <v>32.610321791299995</v>
      </c>
      <c r="O38" s="6">
        <v>8.4814674152199991</v>
      </c>
      <c r="P38" s="5">
        <v>-4.6854838806774177</v>
      </c>
      <c r="Q38" s="5">
        <v>0.10044862378903872</v>
      </c>
    </row>
    <row r="39" spans="1:17">
      <c r="A39" s="2">
        <v>41306</v>
      </c>
      <c r="B39" s="3">
        <v>0.45565436428571432</v>
      </c>
      <c r="C39" s="3">
        <v>0.45565436428571432</v>
      </c>
      <c r="D39" s="3">
        <v>0.45565436428571432</v>
      </c>
      <c r="E39" s="3">
        <v>0.14461248989285716</v>
      </c>
      <c r="F39" s="4">
        <v>1903.6839230000003</v>
      </c>
      <c r="G39" s="5">
        <v>93.70990759999998</v>
      </c>
      <c r="H39" s="4">
        <v>727.35686224399672</v>
      </c>
      <c r="I39" s="5">
        <v>37.969191268418207</v>
      </c>
      <c r="J39" s="4">
        <v>1726.9807967295694</v>
      </c>
      <c r="K39" s="5">
        <v>85.011598612349232</v>
      </c>
      <c r="L39" s="4">
        <v>1055.3417696440879</v>
      </c>
      <c r="M39" s="5">
        <v>22.510065495245399</v>
      </c>
      <c r="N39" s="5">
        <v>41.782156960999998</v>
      </c>
      <c r="O39" s="5">
        <v>10.122347353999999</v>
      </c>
      <c r="P39" s="5">
        <v>-2.2821428463214293</v>
      </c>
      <c r="Q39" s="5">
        <v>5.3293330383928562E-2</v>
      </c>
    </row>
    <row r="40" spans="1:17">
      <c r="A40" s="2">
        <v>41334</v>
      </c>
      <c r="B40" s="3">
        <v>0.29155784709677424</v>
      </c>
      <c r="C40" s="3">
        <v>0.29155784709677424</v>
      </c>
      <c r="D40" s="3">
        <v>0.29155784709677424</v>
      </c>
      <c r="E40" s="3">
        <v>8.9195743903225835E-2</v>
      </c>
      <c r="F40" s="4">
        <v>1341.7435299999997</v>
      </c>
      <c r="G40" s="5">
        <v>58.840681740000015</v>
      </c>
      <c r="H40" s="4">
        <v>478.0807618539182</v>
      </c>
      <c r="I40" s="5">
        <v>22.870268423849367</v>
      </c>
      <c r="J40" s="4">
        <v>1718.1826053059751</v>
      </c>
      <c r="K40" s="5">
        <v>75.349001390149851</v>
      </c>
      <c r="L40" s="4">
        <v>1068.2183135561606</v>
      </c>
      <c r="M40" s="5">
        <v>22.943008173028435</v>
      </c>
      <c r="N40" s="6">
        <v>4.5633898596</v>
      </c>
      <c r="O40" s="6">
        <v>1.24773116233</v>
      </c>
      <c r="P40" s="5">
        <v>-4.2548387289999994</v>
      </c>
      <c r="Q40" s="5">
        <v>2.5011870836563876E-2</v>
      </c>
    </row>
    <row r="41" spans="1:17">
      <c r="A41" s="2">
        <v>41365</v>
      </c>
      <c r="B41" s="6">
        <v>1.7786348633333335</v>
      </c>
      <c r="C41" s="6">
        <v>1.7786348633333335</v>
      </c>
      <c r="D41" s="6">
        <v>1.7786348633333335</v>
      </c>
      <c r="E41" s="3">
        <v>0.75708364370000003</v>
      </c>
      <c r="F41" s="4">
        <v>6634.4416040000015</v>
      </c>
      <c r="G41" s="4">
        <v>413.12369295999997</v>
      </c>
      <c r="H41" s="4">
        <v>2848.122661547879</v>
      </c>
      <c r="I41" s="4">
        <v>178.57887518570664</v>
      </c>
      <c r="J41" s="4">
        <v>1439.072118995972</v>
      </c>
      <c r="K41" s="5">
        <v>89.61037304853771</v>
      </c>
      <c r="L41" s="4">
        <v>884.00684371094678</v>
      </c>
      <c r="M41" s="5">
        <v>19.504816648024789</v>
      </c>
      <c r="N41" s="5">
        <v>43.514022813799997</v>
      </c>
      <c r="O41" s="5">
        <v>26.585748938400002</v>
      </c>
      <c r="P41" s="5">
        <v>3.9409999809999996</v>
      </c>
      <c r="Q41" s="5">
        <v>2.3950185489333333</v>
      </c>
    </row>
    <row r="42" spans="1:17">
      <c r="A42" s="2">
        <v>41395</v>
      </c>
      <c r="B42" s="3">
        <v>0.62729519387096777</v>
      </c>
      <c r="C42" s="3">
        <v>0.62729519387096777</v>
      </c>
      <c r="D42" s="3">
        <v>0.62729519387096777</v>
      </c>
      <c r="E42" s="3">
        <v>0.12040897677419353</v>
      </c>
      <c r="F42" s="4">
        <v>1404.1369219999997</v>
      </c>
      <c r="G42" s="5">
        <v>47.656010219999992</v>
      </c>
      <c r="H42" s="4">
        <v>348.97600221877502</v>
      </c>
      <c r="I42" s="5">
        <v>12.022994272688278</v>
      </c>
      <c r="J42" s="4">
        <v>835.72240232062973</v>
      </c>
      <c r="K42" s="5">
        <v>28.364182042284416</v>
      </c>
      <c r="L42" s="4">
        <v>260.62766931344601</v>
      </c>
      <c r="M42" s="6">
        <v>6.0677055354362528</v>
      </c>
      <c r="N42" s="5">
        <v>16.978007723799998</v>
      </c>
      <c r="O42" s="5">
        <v>56.752903480000001</v>
      </c>
      <c r="P42" s="5">
        <v>13.067096735483872</v>
      </c>
      <c r="Q42" s="5">
        <v>14.203661651612904</v>
      </c>
    </row>
    <row r="43" spans="1:17">
      <c r="A43" s="2">
        <v>41426</v>
      </c>
      <c r="B43" s="3">
        <v>0.16497419799999996</v>
      </c>
      <c r="C43" s="3">
        <v>0.16497419799999996</v>
      </c>
      <c r="D43" s="3">
        <v>0.16497419799999996</v>
      </c>
      <c r="E43" s="3">
        <v>2.503232066666667E-2</v>
      </c>
      <c r="F43" s="4">
        <v>270.69898949999993</v>
      </c>
      <c r="G43" s="6">
        <v>6.9122115500000003</v>
      </c>
      <c r="H43" s="5">
        <v>60.753571701785859</v>
      </c>
      <c r="I43" s="6">
        <v>2.3186712649266905</v>
      </c>
      <c r="J43" s="4">
        <v>633.04647264674384</v>
      </c>
      <c r="K43" s="5">
        <v>16.164637708315219</v>
      </c>
      <c r="L43" s="5">
        <v>26.550820940902327</v>
      </c>
      <c r="M43" s="3">
        <v>0.88850206243108532</v>
      </c>
      <c r="N43" s="5">
        <v>66.1768368985</v>
      </c>
      <c r="O43" s="5">
        <v>74.982814700000006</v>
      </c>
      <c r="P43" s="5">
        <v>15.8516666</v>
      </c>
      <c r="Q43" s="5">
        <v>18.429706133333337</v>
      </c>
    </row>
    <row r="44" spans="1:17">
      <c r="A44" s="2">
        <v>41456</v>
      </c>
      <c r="B44" s="3">
        <v>6.8694835129032281E-2</v>
      </c>
      <c r="C44" s="3">
        <v>6.8694835129032281E-2</v>
      </c>
      <c r="D44" s="3">
        <v>6.8694835129032281E-2</v>
      </c>
      <c r="E44" s="3">
        <v>1.1245633325806453E-2</v>
      </c>
      <c r="F44" s="4">
        <v>108.74036060000003</v>
      </c>
      <c r="G44" s="6">
        <v>2.8120242750000002</v>
      </c>
      <c r="H44" s="5">
        <v>24.795674719766126</v>
      </c>
      <c r="I44" s="6">
        <v>1.1697951052549549</v>
      </c>
      <c r="J44" s="4">
        <v>591.00509836311232</v>
      </c>
      <c r="K44" s="5">
        <v>15.283383636240323</v>
      </c>
      <c r="L44" s="6">
        <v>1.0747220312211072</v>
      </c>
      <c r="M44" s="6">
        <v>1.8138144450600187</v>
      </c>
      <c r="N44" s="5">
        <v>22.690806993000002</v>
      </c>
      <c r="O44" s="5">
        <v>47.339191370000009</v>
      </c>
      <c r="P44" s="5">
        <v>17.240967903225808</v>
      </c>
      <c r="Q44" s="5">
        <v>19.860956838709676</v>
      </c>
    </row>
    <row r="45" spans="1:17">
      <c r="A45" s="2">
        <v>41487</v>
      </c>
      <c r="B45" s="3">
        <v>4.5002070161290326E-2</v>
      </c>
      <c r="C45" s="3">
        <v>4.5002070161290326E-2</v>
      </c>
      <c r="D45" s="3">
        <v>4.5002070161290326E-2</v>
      </c>
      <c r="E45" s="3">
        <v>8.7948981096774206E-3</v>
      </c>
      <c r="F45" s="5">
        <v>69.289841299999992</v>
      </c>
      <c r="G45" s="6">
        <v>2.1086505950000003</v>
      </c>
      <c r="H45" s="5">
        <v>16.248192224820066</v>
      </c>
      <c r="I45" s="6">
        <v>1.0179957878649422</v>
      </c>
      <c r="J45" s="4">
        <v>574.85937403331968</v>
      </c>
      <c r="K45" s="5">
        <v>17.494304099281955</v>
      </c>
      <c r="L45" s="6">
        <v>8.5839777165172784</v>
      </c>
      <c r="M45" s="6">
        <v>6.1986535261019942</v>
      </c>
      <c r="N45" s="5">
        <v>49.65056796599999</v>
      </c>
      <c r="O45" s="5">
        <v>54.428902439999995</v>
      </c>
      <c r="P45" s="5">
        <v>16.456129064516123</v>
      </c>
      <c r="Q45" s="5">
        <v>18.733695354838709</v>
      </c>
    </row>
    <row r="46" spans="1:17">
      <c r="A46" s="2">
        <v>41518</v>
      </c>
      <c r="B46" s="3">
        <v>3.228405543333334E-2</v>
      </c>
      <c r="C46" s="3">
        <v>3.228405543333334E-2</v>
      </c>
      <c r="D46" s="3">
        <v>3.228405543333334E-2</v>
      </c>
      <c r="E46" s="3">
        <v>7.4894082966666673E-3</v>
      </c>
      <c r="F46" s="5">
        <v>45.727290269999997</v>
      </c>
      <c r="G46" s="6">
        <v>1.7781249370000001</v>
      </c>
      <c r="H46" s="5">
        <v>12.97228439087997</v>
      </c>
      <c r="I46" s="3">
        <v>0.94573659305053825</v>
      </c>
      <c r="J46" s="4">
        <v>546.45244259504375</v>
      </c>
      <c r="K46" s="5">
        <v>21.249032754303705</v>
      </c>
      <c r="L46" s="5">
        <v>58.398798861984694</v>
      </c>
      <c r="M46" s="5">
        <v>14.016702446290777</v>
      </c>
      <c r="N46" s="5">
        <v>55.509392453000004</v>
      </c>
      <c r="O46" s="5">
        <v>36.222671489999996</v>
      </c>
      <c r="P46" s="5">
        <v>11.717666686666668</v>
      </c>
      <c r="Q46" s="5">
        <v>13.398192849999997</v>
      </c>
    </row>
    <row r="47" spans="1:17">
      <c r="A47" s="2">
        <v>41548</v>
      </c>
      <c r="B47" s="3">
        <v>6.2423988290322592E-2</v>
      </c>
      <c r="C47" s="3">
        <v>6.2423988290322592E-2</v>
      </c>
      <c r="D47" s="3">
        <v>6.2423988290322592E-2</v>
      </c>
      <c r="E47" s="3">
        <v>2.7410720129032257E-2</v>
      </c>
      <c r="F47" s="5">
        <v>94.471526400000002</v>
      </c>
      <c r="G47" s="6">
        <v>5.0811199089999999</v>
      </c>
      <c r="H47" s="5">
        <v>75.878572476209271</v>
      </c>
      <c r="I47" s="6">
        <v>2.6488222713397702</v>
      </c>
      <c r="J47" s="4">
        <v>565.03320595772095</v>
      </c>
      <c r="K47" s="5">
        <v>30.390123954345857</v>
      </c>
      <c r="L47" s="4">
        <v>131.1685887462348</v>
      </c>
      <c r="M47" s="5">
        <v>24.972780163189061</v>
      </c>
      <c r="N47" s="5">
        <v>60.098827765199999</v>
      </c>
      <c r="O47" s="5">
        <v>32.521314267000001</v>
      </c>
      <c r="P47" s="5">
        <v>7.2690322706451616</v>
      </c>
      <c r="Q47" s="5">
        <v>7.0425121387096778</v>
      </c>
    </row>
    <row r="48" spans="1:17">
      <c r="A48" s="2">
        <v>41579</v>
      </c>
      <c r="B48" s="3">
        <v>0.35060823766666666</v>
      </c>
      <c r="C48" s="3">
        <v>0.35060823766666666</v>
      </c>
      <c r="D48" s="3">
        <v>0.35060823766666666</v>
      </c>
      <c r="E48" s="3">
        <v>0.15177058930000001</v>
      </c>
      <c r="F48" s="4">
        <v>938.83428000000026</v>
      </c>
      <c r="G48" s="5">
        <v>23.57326509</v>
      </c>
      <c r="H48" s="4">
        <v>528.02200496793955</v>
      </c>
      <c r="I48" s="6">
        <v>9.2611539537773204</v>
      </c>
      <c r="J48" s="4">
        <v>1033.0748998738648</v>
      </c>
      <c r="K48" s="5">
        <v>25.939559450539022</v>
      </c>
      <c r="L48" s="4">
        <v>149.64460663945252</v>
      </c>
      <c r="M48" s="5">
        <v>12.645563346026137</v>
      </c>
      <c r="N48" s="5">
        <v>62.243452665999982</v>
      </c>
      <c r="O48" s="5">
        <v>22.136944552999996</v>
      </c>
      <c r="P48" s="5">
        <v>2.903666683</v>
      </c>
      <c r="Q48" s="5">
        <v>2.8935076758666667</v>
      </c>
    </row>
    <row r="49" spans="1:17">
      <c r="A49" s="2">
        <v>41609</v>
      </c>
      <c r="B49" s="3">
        <v>0.51419705096774204</v>
      </c>
      <c r="C49" s="3">
        <v>0.51419705096774204</v>
      </c>
      <c r="D49" s="3">
        <v>0.51419705096774204</v>
      </c>
      <c r="E49" s="3">
        <v>0.19941497132258065</v>
      </c>
      <c r="F49" s="4">
        <v>2020.7289960000001</v>
      </c>
      <c r="G49" s="5">
        <v>72.85297669000002</v>
      </c>
      <c r="H49" s="4">
        <v>1017.1138488335345</v>
      </c>
      <c r="I49" s="5">
        <v>43.230427670854468</v>
      </c>
      <c r="J49" s="4">
        <v>1467.2463588429869</v>
      </c>
      <c r="K49" s="5">
        <v>52.898367939497703</v>
      </c>
      <c r="L49" s="4">
        <v>687.06166278463922</v>
      </c>
      <c r="M49" s="5">
        <v>16.612716377504618</v>
      </c>
      <c r="N49" s="5">
        <v>57.493862135999997</v>
      </c>
      <c r="O49" s="5">
        <v>19.529461262199998</v>
      </c>
      <c r="P49" s="5">
        <v>2.0996774009999997</v>
      </c>
      <c r="Q49" s="5">
        <v>1.3007242721264842</v>
      </c>
    </row>
    <row r="50" spans="1:17">
      <c r="A50" s="2">
        <v>41640</v>
      </c>
      <c r="B50" s="3">
        <v>0.65570657129032262</v>
      </c>
      <c r="C50" s="3">
        <v>0.65570657129032262</v>
      </c>
      <c r="D50" s="3">
        <v>0.65570657129032262</v>
      </c>
      <c r="E50" s="3">
        <v>0.22262265448387095</v>
      </c>
      <c r="F50" s="4">
        <v>2975.576802000001</v>
      </c>
      <c r="G50" s="4">
        <v>125.38166280000002</v>
      </c>
      <c r="H50" s="4">
        <v>1155.6562102124951</v>
      </c>
      <c r="I50" s="5">
        <v>51.26553300453628</v>
      </c>
      <c r="J50" s="4">
        <v>1694.2838362145794</v>
      </c>
      <c r="K50" s="5">
        <v>71.391915190061269</v>
      </c>
      <c r="L50" s="4">
        <v>927.12288120565449</v>
      </c>
      <c r="M50" s="5">
        <v>19.986332803847468</v>
      </c>
      <c r="N50" s="5">
        <v>51.033984513999997</v>
      </c>
      <c r="O50" s="5">
        <v>14.738886710000001</v>
      </c>
      <c r="P50" s="5">
        <v>-2.7912903516129037</v>
      </c>
      <c r="Q50" s="5">
        <v>0.74940365850000001</v>
      </c>
    </row>
    <row r="51" spans="1:17">
      <c r="A51" s="2">
        <v>41671</v>
      </c>
      <c r="B51" s="3">
        <v>0.8973730771428573</v>
      </c>
      <c r="C51" s="3">
        <v>0.8973730771428573</v>
      </c>
      <c r="D51" s="3">
        <v>0.8973730771428573</v>
      </c>
      <c r="E51" s="3">
        <v>0.34366343082142858</v>
      </c>
      <c r="F51" s="4">
        <v>3722.5189410000003</v>
      </c>
      <c r="G51" s="4">
        <v>160.5493611</v>
      </c>
      <c r="H51" s="4">
        <v>1603.4426069853544</v>
      </c>
      <c r="I51" s="5">
        <v>74.932005421359491</v>
      </c>
      <c r="J51" s="4">
        <v>1714.7155626083329</v>
      </c>
      <c r="K51" s="5">
        <v>73.954353917195917</v>
      </c>
      <c r="L51" s="4">
        <v>965.37197238626766</v>
      </c>
      <c r="M51" s="5">
        <v>20.018416451878551</v>
      </c>
      <c r="N51" s="5">
        <v>42.772984332999989</v>
      </c>
      <c r="O51" s="5">
        <v>13.592408063899999</v>
      </c>
      <c r="P51" s="5">
        <v>1.4850000114285715</v>
      </c>
      <c r="Q51" s="5">
        <v>0.27376844548750007</v>
      </c>
    </row>
    <row r="52" spans="1:17">
      <c r="A52" s="2">
        <v>41699</v>
      </c>
      <c r="B52" s="3">
        <v>0.86669877064516121</v>
      </c>
      <c r="C52" s="3">
        <v>0.86669877064516121</v>
      </c>
      <c r="D52" s="3">
        <v>0.86669877064516121</v>
      </c>
      <c r="E52" s="3">
        <v>0.29424839838709677</v>
      </c>
      <c r="F52" s="4">
        <v>3548.8471199999994</v>
      </c>
      <c r="G52" s="4">
        <v>144.9794765</v>
      </c>
      <c r="H52" s="4">
        <v>1367.2159108720193</v>
      </c>
      <c r="I52" s="5">
        <v>61.083987429169767</v>
      </c>
      <c r="J52" s="4">
        <v>1528.7752461920259</v>
      </c>
      <c r="K52" s="5">
        <v>62.454377758339433</v>
      </c>
      <c r="L52" s="4">
        <v>815.54794493769214</v>
      </c>
      <c r="M52" s="5">
        <v>16.825815826523009</v>
      </c>
      <c r="N52" s="5">
        <v>51.244856078999995</v>
      </c>
      <c r="O52" s="5">
        <v>24.129002952999997</v>
      </c>
      <c r="P52" s="5">
        <v>3.4116128932258065</v>
      </c>
      <c r="Q52" s="5">
        <v>2.9705239385161288</v>
      </c>
    </row>
    <row r="53" spans="1:17">
      <c r="A53" s="2">
        <v>41730</v>
      </c>
      <c r="B53" s="3">
        <v>0.53227792533333329</v>
      </c>
      <c r="C53" s="3">
        <v>0.53227792533333329</v>
      </c>
      <c r="D53" s="3">
        <v>0.53227792533333329</v>
      </c>
      <c r="E53" s="3">
        <v>0.15599161606666664</v>
      </c>
      <c r="F53" s="4">
        <v>1911.7971690000002</v>
      </c>
      <c r="G53" s="5">
        <v>70.385213030000003</v>
      </c>
      <c r="H53" s="4">
        <v>633.57799403134447</v>
      </c>
      <c r="I53" s="5">
        <v>25.895385285021085</v>
      </c>
      <c r="J53" s="4">
        <v>1385.6972216815689</v>
      </c>
      <c r="K53" s="5">
        <v>51.01618299912257</v>
      </c>
      <c r="L53" s="4">
        <v>702.81166230358474</v>
      </c>
      <c r="M53" s="5">
        <v>14.806999131639813</v>
      </c>
      <c r="N53" s="5">
        <v>44.410287341100002</v>
      </c>
      <c r="O53" s="5">
        <v>34.577604733000001</v>
      </c>
      <c r="P53" s="5">
        <v>6.3500000536666654</v>
      </c>
      <c r="Q53" s="5">
        <v>7.0935563200000011</v>
      </c>
    </row>
    <row r="54" spans="1:17">
      <c r="A54" s="2">
        <v>41760</v>
      </c>
      <c r="B54" s="3">
        <v>0.29134186096774195</v>
      </c>
      <c r="C54" s="3">
        <v>0.29134186096774195</v>
      </c>
      <c r="D54" s="3">
        <v>0.29134186096774195</v>
      </c>
      <c r="E54" s="3">
        <v>8.2331086580645127E-2</v>
      </c>
      <c r="F54" s="4">
        <v>813.77142499999979</v>
      </c>
      <c r="G54" s="5">
        <v>32.026001230000006</v>
      </c>
      <c r="H54" s="4">
        <v>283.56427387103105</v>
      </c>
      <c r="I54" s="5">
        <v>12.739010615011408</v>
      </c>
      <c r="J54" s="4">
        <v>1042.8553890912567</v>
      </c>
      <c r="K54" s="5">
        <v>41.041608504791469</v>
      </c>
      <c r="L54" s="4">
        <v>372.24007959294119</v>
      </c>
      <c r="M54" s="5">
        <v>10.836896391698629</v>
      </c>
      <c r="N54" s="5">
        <v>46.570293785000011</v>
      </c>
      <c r="O54" s="5">
        <v>56.139508600000006</v>
      </c>
      <c r="P54" s="5">
        <v>10.490645141935486</v>
      </c>
      <c r="Q54" s="5">
        <v>12.1625374</v>
      </c>
    </row>
    <row r="55" spans="1:17">
      <c r="A55" s="2">
        <v>41791</v>
      </c>
      <c r="B55" s="3">
        <v>0.10704529506666667</v>
      </c>
      <c r="C55" s="3">
        <v>0.10704529506666667</v>
      </c>
      <c r="D55" s="3">
        <v>0.10704529506666667</v>
      </c>
      <c r="E55" s="3">
        <v>2.0613291033333331E-2</v>
      </c>
      <c r="F55" s="4">
        <v>235.38770669999997</v>
      </c>
      <c r="G55" s="6">
        <v>7.8748586599999983</v>
      </c>
      <c r="H55" s="5">
        <v>50.731407341588195</v>
      </c>
      <c r="I55" s="6">
        <v>2.0509091339171897</v>
      </c>
      <c r="J55" s="4">
        <v>848.36195429989368</v>
      </c>
      <c r="K55" s="5">
        <v>28.38181512855153</v>
      </c>
      <c r="L55" s="4">
        <v>184.43329131862609</v>
      </c>
      <c r="M55" s="6">
        <v>6.7380904311260288</v>
      </c>
      <c r="N55" s="5">
        <v>53.638914308099999</v>
      </c>
      <c r="O55" s="5">
        <v>60.618303600000011</v>
      </c>
      <c r="P55" s="5">
        <v>13.073666546666665</v>
      </c>
      <c r="Q55" s="5">
        <v>15.701803833333331</v>
      </c>
    </row>
    <row r="56" spans="1:17">
      <c r="A56" s="2">
        <v>41821</v>
      </c>
      <c r="B56" s="3">
        <v>5.9916773419354835E-2</v>
      </c>
      <c r="C56" s="3">
        <v>5.9916773419354835E-2</v>
      </c>
      <c r="D56" s="3">
        <v>5.9916773419354835E-2</v>
      </c>
      <c r="E56" s="3">
        <v>1.3085838654838712E-2</v>
      </c>
      <c r="F56" s="4">
        <v>113.13195970000002</v>
      </c>
      <c r="G56" s="6">
        <v>3.6432798449999999</v>
      </c>
      <c r="H56" s="5">
        <v>30.386322022269713</v>
      </c>
      <c r="I56" s="6">
        <v>1.4258944644084597</v>
      </c>
      <c r="J56" s="4">
        <v>704.9550713569871</v>
      </c>
      <c r="K56" s="5">
        <v>22.702237372713757</v>
      </c>
      <c r="L56" s="5">
        <v>80.715046236216736</v>
      </c>
      <c r="M56" s="6">
        <v>6.9350688408580314</v>
      </c>
      <c r="N56" s="5">
        <v>39.218751820500003</v>
      </c>
      <c r="O56" s="5">
        <v>70.602206899999999</v>
      </c>
      <c r="P56" s="5">
        <v>19.67870964516128</v>
      </c>
      <c r="Q56" s="5">
        <v>21.775757032258063</v>
      </c>
    </row>
    <row r="57" spans="1:17">
      <c r="A57" s="2">
        <v>41852</v>
      </c>
      <c r="B57" s="3">
        <v>6.5797679612903212E-2</v>
      </c>
      <c r="C57" s="3">
        <v>6.5797679612903212E-2</v>
      </c>
      <c r="D57" s="3">
        <v>6.5797679612903212E-2</v>
      </c>
      <c r="E57" s="3">
        <v>2.0816859448387102E-2</v>
      </c>
      <c r="F57" s="4">
        <v>111.12962979999999</v>
      </c>
      <c r="G57" s="6">
        <v>4.352036687</v>
      </c>
      <c r="H57" s="5">
        <v>52.702069869714201</v>
      </c>
      <c r="I57" s="6">
        <v>2.2771137256074176</v>
      </c>
      <c r="J57" s="4">
        <v>630.58529060373201</v>
      </c>
      <c r="K57" s="5">
        <v>24.69485690308256</v>
      </c>
      <c r="L57" s="5">
        <v>19.169876776562759</v>
      </c>
      <c r="M57" s="6">
        <v>8.030698447097441</v>
      </c>
      <c r="N57" s="5">
        <v>97.826457839999989</v>
      </c>
      <c r="O57" s="5">
        <v>77.610326599999993</v>
      </c>
      <c r="P57" s="5">
        <v>16.431290451612906</v>
      </c>
      <c r="Q57" s="5">
        <v>19.027510419354837</v>
      </c>
    </row>
    <row r="58" spans="1:17">
      <c r="A58" s="2">
        <v>41883</v>
      </c>
      <c r="B58" s="3">
        <v>9.2441975133333354E-2</v>
      </c>
      <c r="C58" s="3">
        <v>9.2441975133333354E-2</v>
      </c>
      <c r="D58" s="3">
        <v>9.2441975133333354E-2</v>
      </c>
      <c r="E58" s="3">
        <v>3.9006079743333338E-2</v>
      </c>
      <c r="F58" s="4">
        <v>189.15913989999999</v>
      </c>
      <c r="G58" s="5">
        <v>13.733034751</v>
      </c>
      <c r="H58" s="4">
        <v>145.84090166176367</v>
      </c>
      <c r="I58" s="6">
        <v>9.915922321866363</v>
      </c>
      <c r="J58" s="4">
        <v>789.44721937131374</v>
      </c>
      <c r="K58" s="5">
        <v>57.314206749287749</v>
      </c>
      <c r="L58" s="4">
        <v>177.36129245699385</v>
      </c>
      <c r="M58" s="5">
        <v>18.930727294069673</v>
      </c>
      <c r="N58" s="5">
        <v>60.267127690999999</v>
      </c>
      <c r="O58" s="5">
        <v>45.049296689999998</v>
      </c>
      <c r="P58" s="5">
        <v>11.968333319999997</v>
      </c>
      <c r="Q58" s="5">
        <v>13.175716723333334</v>
      </c>
    </row>
    <row r="59" spans="1:17">
      <c r="A59" s="2">
        <v>41913</v>
      </c>
      <c r="B59" s="3">
        <v>0.28827086696774196</v>
      </c>
      <c r="C59" s="3">
        <v>0.28827086696774196</v>
      </c>
      <c r="D59" s="3">
        <v>0.28827086696774196</v>
      </c>
      <c r="E59" s="3">
        <v>0.1226272968064516</v>
      </c>
      <c r="F59" s="4">
        <v>867.69725549999998</v>
      </c>
      <c r="G59" s="5">
        <v>45.358538920000008</v>
      </c>
      <c r="H59" s="4">
        <v>453.2811283546078</v>
      </c>
      <c r="I59" s="5">
        <v>16.278566266860658</v>
      </c>
      <c r="J59" s="4">
        <v>1123.8077108144705</v>
      </c>
      <c r="K59" s="5">
        <v>58.746614696491058</v>
      </c>
      <c r="L59" s="4">
        <v>201.47769044523585</v>
      </c>
      <c r="M59" s="5">
        <v>12.794750395824307</v>
      </c>
      <c r="N59" s="5">
        <v>72.460788659900018</v>
      </c>
      <c r="O59" s="5">
        <v>40.150464525999986</v>
      </c>
      <c r="P59" s="5">
        <v>8.1567742164516144</v>
      </c>
      <c r="Q59" s="5">
        <v>8.1273937709677426</v>
      </c>
    </row>
    <row r="60" spans="1:17">
      <c r="A60" s="2">
        <v>41944</v>
      </c>
      <c r="B60" s="3">
        <v>0.28531916933333334</v>
      </c>
      <c r="C60" s="3">
        <v>0.28531916933333334</v>
      </c>
      <c r="D60" s="3">
        <v>0.28531916933333334</v>
      </c>
      <c r="E60" s="3">
        <v>0.10240446253333332</v>
      </c>
      <c r="F60" s="4">
        <v>864.26611199999991</v>
      </c>
      <c r="G60" s="5">
        <v>36.08485481999999</v>
      </c>
      <c r="H60" s="4">
        <v>426.65972332369529</v>
      </c>
      <c r="I60" s="5">
        <v>18.34039071429844</v>
      </c>
      <c r="J60" s="4">
        <v>1168.642057899619</v>
      </c>
      <c r="K60" s="5">
        <v>48.793165525777759</v>
      </c>
      <c r="L60" s="4">
        <v>343.97311377318204</v>
      </c>
      <c r="M60" s="5">
        <v>13.554147064605065</v>
      </c>
      <c r="N60" s="5">
        <v>37.385955295999999</v>
      </c>
      <c r="O60" s="5">
        <v>18.811140722999998</v>
      </c>
      <c r="P60" s="5">
        <v>4.1656666630000005</v>
      </c>
      <c r="Q60" s="5">
        <v>3.7209120870000008</v>
      </c>
    </row>
    <row r="61" spans="1:17">
      <c r="A61" s="2">
        <v>41974</v>
      </c>
      <c r="B61" s="3">
        <v>0.42490783451612901</v>
      </c>
      <c r="C61" s="3">
        <v>0.42490783451612901</v>
      </c>
      <c r="D61" s="3">
        <v>0.42490783451612901</v>
      </c>
      <c r="E61" s="3">
        <v>0.15752058174193548</v>
      </c>
      <c r="F61" s="4">
        <v>1901.0164480000003</v>
      </c>
      <c r="G61" s="4">
        <v>189.08729407000001</v>
      </c>
      <c r="H61" s="4">
        <v>865.03286855888712</v>
      </c>
      <c r="I61" s="5">
        <v>64.763600009440623</v>
      </c>
      <c r="J61" s="4">
        <v>1670.3815292153276</v>
      </c>
      <c r="K61" s="4">
        <v>166.14686462895565</v>
      </c>
      <c r="L61" s="4">
        <v>889.18126445610687</v>
      </c>
      <c r="M61" s="5">
        <v>21.651466460387674</v>
      </c>
      <c r="N61" s="5">
        <v>42.0938671133</v>
      </c>
      <c r="O61" s="5">
        <v>11.190397896299999</v>
      </c>
      <c r="P61" s="5">
        <v>-1.3048387358387092</v>
      </c>
      <c r="Q61" s="5">
        <v>5.4356471689096762E-2</v>
      </c>
    </row>
    <row r="62" spans="1:17">
      <c r="A62" s="2">
        <v>42005</v>
      </c>
      <c r="B62" s="3">
        <v>0.76657195258064514</v>
      </c>
      <c r="C62" s="3">
        <v>0.76657195258064514</v>
      </c>
      <c r="D62" s="3">
        <v>0.76657195258064514</v>
      </c>
      <c r="E62" s="3">
        <v>0.28942870612903226</v>
      </c>
      <c r="F62" s="4">
        <v>3916.5566590000003</v>
      </c>
      <c r="G62" s="4">
        <v>303.98074179999998</v>
      </c>
      <c r="H62" s="4">
        <v>1683.428759505277</v>
      </c>
      <c r="I62" s="4">
        <v>106.81385379173787</v>
      </c>
      <c r="J62" s="4">
        <v>1907.5503998249856</v>
      </c>
      <c r="K62" s="4">
        <v>148.05315891383512</v>
      </c>
      <c r="L62" s="4">
        <v>1092.8777092154846</v>
      </c>
      <c r="M62" s="5">
        <v>23.097886389138715</v>
      </c>
      <c r="N62" s="5">
        <v>89.591185468800006</v>
      </c>
      <c r="O62" s="5">
        <v>22.991811076999998</v>
      </c>
      <c r="P62" s="5">
        <v>-0.20290324807096774</v>
      </c>
      <c r="Q62" s="5">
        <v>4.9345426276451623E-2</v>
      </c>
    </row>
    <row r="63" spans="1:17">
      <c r="A63" s="2">
        <v>42036</v>
      </c>
      <c r="B63" s="6">
        <v>1.0752442678571428</v>
      </c>
      <c r="C63" s="6">
        <v>1.0752442678571428</v>
      </c>
      <c r="D63" s="6">
        <v>1.0752442678571428</v>
      </c>
      <c r="E63" s="3">
        <v>0.40557469964285714</v>
      </c>
      <c r="F63" s="4">
        <v>4744.6125000000002</v>
      </c>
      <c r="G63" s="4">
        <v>245.17173350000002</v>
      </c>
      <c r="H63" s="4">
        <v>1937.8693474711436</v>
      </c>
      <c r="I63" s="4">
        <v>100.04152791510393</v>
      </c>
      <c r="J63" s="4">
        <v>1823.9873461889363</v>
      </c>
      <c r="K63" s="5">
        <v>94.252194431793868</v>
      </c>
      <c r="L63" s="4">
        <v>1052.9099842524099</v>
      </c>
      <c r="M63" s="5">
        <v>22.120468829944301</v>
      </c>
      <c r="N63" s="5">
        <v>34.980454809999998</v>
      </c>
      <c r="O63" s="5">
        <v>10.672064939999999</v>
      </c>
      <c r="P63" s="5">
        <v>0.34642857478571421</v>
      </c>
      <c r="Q63" s="5">
        <v>0.34191902847535716</v>
      </c>
    </row>
    <row r="64" spans="1:17">
      <c r="A64" s="2">
        <v>42064</v>
      </c>
      <c r="B64" s="3">
        <v>0.85454957129032272</v>
      </c>
      <c r="C64" s="3">
        <v>0.85454957129032272</v>
      </c>
      <c r="D64" s="3">
        <v>0.85454957129032272</v>
      </c>
      <c r="E64" s="3">
        <v>0.27942416580645157</v>
      </c>
      <c r="F64" s="4">
        <v>3011.1677760000007</v>
      </c>
      <c r="G64" s="4">
        <v>117.48952050000001</v>
      </c>
      <c r="H64" s="4">
        <v>1074.3232650986981</v>
      </c>
      <c r="I64" s="5">
        <v>42.99307933859837</v>
      </c>
      <c r="J64" s="4">
        <v>1315.595083993137</v>
      </c>
      <c r="K64" s="5">
        <v>51.331790804943743</v>
      </c>
      <c r="L64" s="4">
        <v>580.30557468941731</v>
      </c>
      <c r="M64" s="5">
        <v>12.298641323987242</v>
      </c>
      <c r="N64" s="5">
        <v>42.369277407699997</v>
      </c>
      <c r="O64" s="5">
        <v>18.957047275999994</v>
      </c>
      <c r="P64" s="5">
        <v>2.7654838667741943</v>
      </c>
      <c r="Q64" s="5">
        <v>2.6432760803225808</v>
      </c>
    </row>
    <row r="65" spans="1:17">
      <c r="A65" s="2">
        <v>42095</v>
      </c>
      <c r="B65" s="3">
        <v>0.54231405533333332</v>
      </c>
      <c r="C65" s="3">
        <v>0.54231405533333332</v>
      </c>
      <c r="D65" s="3">
        <v>0.54231405533333332</v>
      </c>
      <c r="E65" s="3">
        <v>0.15120692479999995</v>
      </c>
      <c r="F65" s="4">
        <v>1966.2054039999998</v>
      </c>
      <c r="G65" s="5">
        <v>90.317817269999978</v>
      </c>
      <c r="H65" s="4">
        <v>625.99644061858567</v>
      </c>
      <c r="I65" s="5">
        <v>29.768270424847216</v>
      </c>
      <c r="J65" s="4">
        <v>1398.7593970320193</v>
      </c>
      <c r="K65" s="5">
        <v>64.252133561408485</v>
      </c>
      <c r="L65" s="4">
        <v>705.52311080478933</v>
      </c>
      <c r="M65" s="5">
        <v>15.182170377266683</v>
      </c>
      <c r="N65" s="5">
        <v>16.291846945000003</v>
      </c>
      <c r="O65" s="5">
        <v>27.969736129999998</v>
      </c>
      <c r="P65" s="5">
        <v>6.3780000366666671</v>
      </c>
      <c r="Q65" s="5">
        <v>7.1673456966666667</v>
      </c>
    </row>
    <row r="66" spans="1:17">
      <c r="A66" s="2">
        <v>42125</v>
      </c>
      <c r="B66" s="3">
        <v>0.4346637248387098</v>
      </c>
      <c r="C66" s="3">
        <v>0.4346637248387098</v>
      </c>
      <c r="D66" s="3">
        <v>0.4346637248387098</v>
      </c>
      <c r="E66" s="3">
        <v>0.15222647109677415</v>
      </c>
      <c r="F66" s="4">
        <v>1399.9549129999998</v>
      </c>
      <c r="G66" s="5">
        <v>77.761244489999996</v>
      </c>
      <c r="H66" s="4">
        <v>604.40857521505336</v>
      </c>
      <c r="I66" s="5">
        <v>34.435524362954339</v>
      </c>
      <c r="J66" s="4">
        <v>1202.5002998731584</v>
      </c>
      <c r="K66" s="5">
        <v>66.79352237968773</v>
      </c>
      <c r="L66" s="4">
        <v>520.81225147258726</v>
      </c>
      <c r="M66" s="5">
        <v>14.146412753635788</v>
      </c>
      <c r="N66" s="5">
        <v>98.569741715999982</v>
      </c>
      <c r="O66" s="5">
        <v>65.030824259999989</v>
      </c>
      <c r="P66" s="5">
        <v>9.5238709516129028</v>
      </c>
      <c r="Q66" s="5">
        <v>11.147781399999998</v>
      </c>
    </row>
    <row r="67" spans="1:17">
      <c r="A67" s="2">
        <v>42156</v>
      </c>
      <c r="B67" s="3">
        <v>0.26604635933333332</v>
      </c>
      <c r="C67" s="3">
        <v>0.26604635933333332</v>
      </c>
      <c r="D67" s="3">
        <v>0.26604635933333332</v>
      </c>
      <c r="E67" s="3">
        <v>7.2387255133333314E-2</v>
      </c>
      <c r="F67" s="4">
        <v>808.59623499999998</v>
      </c>
      <c r="G67" s="5">
        <v>38.380644050000008</v>
      </c>
      <c r="H67" s="4">
        <v>253.95609079648432</v>
      </c>
      <c r="I67" s="5">
        <v>11.70037245694027</v>
      </c>
      <c r="J67" s="4">
        <v>1172.5716129584544</v>
      </c>
      <c r="K67" s="5">
        <v>55.657017167661955</v>
      </c>
      <c r="L67" s="4">
        <v>465.34204544692216</v>
      </c>
      <c r="M67" s="5">
        <v>12.736200998253379</v>
      </c>
      <c r="N67" s="5">
        <v>48.323234826000004</v>
      </c>
      <c r="O67" s="5">
        <v>69.205146900000003</v>
      </c>
      <c r="P67" s="5">
        <v>13.550333366666667</v>
      </c>
      <c r="Q67" s="5">
        <v>15.672543900000001</v>
      </c>
    </row>
    <row r="68" spans="1:17">
      <c r="A68" s="2">
        <v>42186</v>
      </c>
      <c r="B68" s="3">
        <v>0.18233598903225806</v>
      </c>
      <c r="C68" s="3">
        <v>0.18233598903225806</v>
      </c>
      <c r="D68" s="3">
        <v>0.18233598903225806</v>
      </c>
      <c r="E68" s="3">
        <v>6.3142767806451616E-2</v>
      </c>
      <c r="F68" s="4">
        <v>397.5801361</v>
      </c>
      <c r="G68" s="5">
        <v>14.16631503</v>
      </c>
      <c r="H68" s="4">
        <v>181.91829897583503</v>
      </c>
      <c r="I68" s="6">
        <v>6.2707140111816431</v>
      </c>
      <c r="J68" s="4">
        <v>814.09826760440762</v>
      </c>
      <c r="K68" s="5">
        <v>29.007415979423506</v>
      </c>
      <c r="L68" s="4">
        <v>124.42656291148386</v>
      </c>
      <c r="M68" s="6">
        <v>7.2816136148630584</v>
      </c>
      <c r="N68" s="4">
        <v>121.77224166999999</v>
      </c>
      <c r="O68" s="5">
        <v>95.094531900000007</v>
      </c>
      <c r="P68" s="5">
        <v>16.263870967741937</v>
      </c>
      <c r="Q68" s="5">
        <v>18.701782290322583</v>
      </c>
    </row>
    <row r="69" spans="1:17">
      <c r="A69" s="2">
        <v>42217</v>
      </c>
      <c r="B69" s="3">
        <v>0.11843216477419355</v>
      </c>
      <c r="C69" s="3">
        <v>0.11843216477419355</v>
      </c>
      <c r="D69" s="3">
        <v>0.11843216477419355</v>
      </c>
      <c r="E69" s="3">
        <v>2.9208352870967746E-2</v>
      </c>
      <c r="F69" s="4">
        <v>269.26383980000003</v>
      </c>
      <c r="G69" s="6">
        <v>9.1368548999999994</v>
      </c>
      <c r="H69" s="5">
        <v>83.052561144067923</v>
      </c>
      <c r="I69" s="6">
        <v>2.8495740553516886</v>
      </c>
      <c r="J69" s="4">
        <v>848.85381315713857</v>
      </c>
      <c r="K69" s="5">
        <v>28.803920118884612</v>
      </c>
      <c r="L69" s="4">
        <v>108.92475012647516</v>
      </c>
      <c r="M69" s="6">
        <v>7.1809253113329046</v>
      </c>
      <c r="N69" s="6">
        <v>9.7886165674000001</v>
      </c>
      <c r="O69" s="5">
        <v>54.428202500000005</v>
      </c>
      <c r="P69" s="5">
        <v>16.595483935483873</v>
      </c>
      <c r="Q69" s="5">
        <v>18.450715903225806</v>
      </c>
    </row>
    <row r="70" spans="1:17">
      <c r="A70" s="2">
        <v>42248</v>
      </c>
      <c r="B70" s="3">
        <v>0.19918664400000005</v>
      </c>
      <c r="C70" s="3">
        <v>0.19918664400000005</v>
      </c>
      <c r="D70" s="3">
        <v>0.19918664400000005</v>
      </c>
      <c r="E70" s="3">
        <v>7.3440933733333325E-2</v>
      </c>
      <c r="F70" s="4">
        <v>432.34462379999997</v>
      </c>
      <c r="G70" s="5">
        <v>16.258295880000002</v>
      </c>
      <c r="H70" s="4">
        <v>216.63224981295139</v>
      </c>
      <c r="I70" s="6">
        <v>7.1440864983217596</v>
      </c>
      <c r="J70" s="4">
        <v>837.40362394961642</v>
      </c>
      <c r="K70" s="5">
        <v>31.490517377146869</v>
      </c>
      <c r="L70" s="4">
        <v>157.70925478878144</v>
      </c>
      <c r="M70" s="5">
        <v>11.179777482376053</v>
      </c>
      <c r="N70" s="4">
        <v>108.22408196760001</v>
      </c>
      <c r="O70" s="5">
        <v>65.038392200000018</v>
      </c>
      <c r="P70" s="5">
        <v>12.332666653333336</v>
      </c>
      <c r="Q70" s="5">
        <v>13.5614065</v>
      </c>
    </row>
    <row r="71" spans="1:17">
      <c r="A71" s="2">
        <v>42278</v>
      </c>
      <c r="B71" s="3">
        <v>8.4335314064516095E-2</v>
      </c>
      <c r="C71" s="3">
        <v>8.4335314064516095E-2</v>
      </c>
      <c r="D71" s="3">
        <v>8.4335314064516095E-2</v>
      </c>
      <c r="E71" s="3">
        <v>1.9125488161290321E-2</v>
      </c>
      <c r="F71" s="4">
        <v>194.609073</v>
      </c>
      <c r="G71" s="6">
        <v>6.1772064300000018</v>
      </c>
      <c r="H71" s="5">
        <v>51.493855434623157</v>
      </c>
      <c r="I71" s="6">
        <v>1.8387490264452075</v>
      </c>
      <c r="J71" s="4">
        <v>861.54538605888365</v>
      </c>
      <c r="K71" s="5">
        <v>27.346842675155809</v>
      </c>
      <c r="L71" s="4">
        <v>159.76965166072762</v>
      </c>
      <c r="M71" s="5">
        <v>11.351196276028412</v>
      </c>
      <c r="N71" s="6">
        <v>2.3722236775000001</v>
      </c>
      <c r="O71" s="5">
        <v>15.356304459999997</v>
      </c>
      <c r="P71" s="5">
        <v>5.887096773870967</v>
      </c>
      <c r="Q71" s="5">
        <v>6.1968657967741949</v>
      </c>
    </row>
    <row r="72" spans="1:17">
      <c r="A72" s="2">
        <v>42309</v>
      </c>
      <c r="B72" s="3">
        <v>0.16818276910000002</v>
      </c>
      <c r="C72" s="3">
        <v>0.16818276910000002</v>
      </c>
      <c r="D72" s="3">
        <v>0.16818276910000002</v>
      </c>
      <c r="E72" s="3">
        <v>7.0172670033333329E-2</v>
      </c>
      <c r="F72" s="4">
        <v>394.06674679999998</v>
      </c>
      <c r="G72" s="5">
        <v>14.602948470000001</v>
      </c>
      <c r="H72" s="4">
        <v>255.66339368988227</v>
      </c>
      <c r="I72" s="6">
        <v>9.7155851520937695</v>
      </c>
      <c r="J72" s="4">
        <v>903.9684554595342</v>
      </c>
      <c r="K72" s="5">
        <v>33.498398100184332</v>
      </c>
      <c r="L72" s="4">
        <v>262.49783727245</v>
      </c>
      <c r="M72" s="5">
        <v>15.895270523739246</v>
      </c>
      <c r="N72" s="5">
        <v>64.607045376999992</v>
      </c>
      <c r="O72" s="5">
        <v>24.143934072</v>
      </c>
      <c r="P72" s="5">
        <v>3.6233333070000007</v>
      </c>
      <c r="Q72" s="5">
        <v>3.332254428986666</v>
      </c>
    </row>
    <row r="73" spans="1:17">
      <c r="A73" s="2">
        <v>42339</v>
      </c>
      <c r="B73" s="3">
        <v>0.50877650064516111</v>
      </c>
      <c r="C73" s="3">
        <v>0.50877650064516111</v>
      </c>
      <c r="D73" s="3">
        <v>0.50877650064516111</v>
      </c>
      <c r="E73" s="3">
        <v>0.19506419135483874</v>
      </c>
      <c r="F73" s="4">
        <v>2458.6067670000007</v>
      </c>
      <c r="G73" s="4">
        <v>162.25701730000006</v>
      </c>
      <c r="H73" s="4">
        <v>1093.7174172439043</v>
      </c>
      <c r="I73" s="5">
        <v>62.81508851281032</v>
      </c>
      <c r="J73" s="4">
        <v>1804.207858229832</v>
      </c>
      <c r="K73" s="4">
        <v>119.0696270357254</v>
      </c>
      <c r="L73" s="4">
        <v>987.64595933133273</v>
      </c>
      <c r="M73" s="5">
        <v>23.334500033758982</v>
      </c>
      <c r="N73" s="5">
        <v>36.036111639999994</v>
      </c>
      <c r="O73" s="5">
        <v>16.547231867920001</v>
      </c>
      <c r="P73" s="5">
        <v>2.1332258146451606</v>
      </c>
      <c r="Q73" s="5">
        <v>1.8600597090290318</v>
      </c>
    </row>
    <row r="74" spans="1:17">
      <c r="A74" s="2">
        <v>42370</v>
      </c>
      <c r="B74" s="3">
        <v>0.35131106064516127</v>
      </c>
      <c r="C74" s="3">
        <v>0.35131106064516127</v>
      </c>
      <c r="D74" s="3">
        <v>0.35131106064516127</v>
      </c>
      <c r="E74" s="3">
        <v>0.13373217106451615</v>
      </c>
      <c r="F74" s="4">
        <v>1448.7077109999998</v>
      </c>
      <c r="G74" s="5">
        <v>85.184035929999993</v>
      </c>
      <c r="H74" s="4">
        <v>681.01631164651792</v>
      </c>
      <c r="I74" s="5">
        <v>40.686606830595593</v>
      </c>
      <c r="J74" s="4">
        <v>1539.6198390482373</v>
      </c>
      <c r="K74" s="5">
        <v>90.529671546021746</v>
      </c>
      <c r="L74" s="4">
        <v>815.75940181220199</v>
      </c>
      <c r="M74" s="5">
        <v>18.699754919758508</v>
      </c>
      <c r="N74" s="5">
        <v>41.234677210800001</v>
      </c>
      <c r="O74" s="5">
        <v>11.267702786129997</v>
      </c>
      <c r="P74" s="5">
        <v>-5.8287097064516127</v>
      </c>
      <c r="Q74" s="5">
        <v>1.6170183055806451E-2</v>
      </c>
    </row>
    <row r="75" spans="1:17">
      <c r="A75" s="2">
        <v>42401</v>
      </c>
      <c r="B75" s="3">
        <v>0.76010868379310348</v>
      </c>
      <c r="C75" s="3">
        <v>0.76010868379310348</v>
      </c>
      <c r="D75" s="3">
        <v>0.76010868379310348</v>
      </c>
      <c r="E75" s="3">
        <v>0.27138021724137928</v>
      </c>
      <c r="F75" s="4">
        <v>3452.057206</v>
      </c>
      <c r="G75" s="4">
        <v>183.93548469999999</v>
      </c>
      <c r="H75" s="4">
        <v>1361.1042715480544</v>
      </c>
      <c r="I75" s="5">
        <v>66.915939142722223</v>
      </c>
      <c r="J75" s="4">
        <v>1812.5522024122884</v>
      </c>
      <c r="K75" s="5">
        <v>96.577966444728588</v>
      </c>
      <c r="L75" s="4">
        <v>1017.0028085058144</v>
      </c>
      <c r="M75" s="5">
        <v>21.187014580695685</v>
      </c>
      <c r="N75" s="5">
        <v>37.887597956999997</v>
      </c>
      <c r="O75" s="5">
        <v>10.607961325999998</v>
      </c>
      <c r="P75" s="5">
        <v>-1.0410344848275863</v>
      </c>
      <c r="Q75" s="5">
        <v>5.1121654021724146E-2</v>
      </c>
    </row>
    <row r="76" spans="1:17">
      <c r="A76" s="2">
        <v>42430</v>
      </c>
      <c r="B76" s="3">
        <v>0.50332430709677412</v>
      </c>
      <c r="C76" s="3">
        <v>0.50332430709677412</v>
      </c>
      <c r="D76" s="3">
        <v>0.50332430709677412</v>
      </c>
      <c r="E76" s="3">
        <v>0.17013481967741939</v>
      </c>
      <c r="F76" s="4">
        <v>2159.7277360000003</v>
      </c>
      <c r="G76" s="5">
        <v>98.73496449999999</v>
      </c>
      <c r="H76" s="4">
        <v>821.89439318856228</v>
      </c>
      <c r="I76" s="5">
        <v>37.64920683705791</v>
      </c>
      <c r="J76" s="4">
        <v>1602.0484587447415</v>
      </c>
      <c r="K76" s="5">
        <v>73.239877910054048</v>
      </c>
      <c r="L76" s="4">
        <v>863.54725320699686</v>
      </c>
      <c r="M76" s="5">
        <v>17.661014455181355</v>
      </c>
      <c r="N76" s="5">
        <v>20.786497549699998</v>
      </c>
      <c r="O76" s="5">
        <v>11.631079008099999</v>
      </c>
      <c r="P76" s="5">
        <v>2.0499999925806454</v>
      </c>
      <c r="Q76" s="5">
        <v>1.0982613907174192</v>
      </c>
    </row>
    <row r="77" spans="1:17">
      <c r="A77" s="2">
        <v>42461</v>
      </c>
      <c r="B77" s="3">
        <v>0.33599654733333323</v>
      </c>
      <c r="C77" s="3">
        <v>0.33599654733333323</v>
      </c>
      <c r="D77" s="3">
        <v>0.33599654733333323</v>
      </c>
      <c r="E77" s="3">
        <v>0.10627892126666665</v>
      </c>
      <c r="F77" s="4">
        <v>1082.3264709999999</v>
      </c>
      <c r="G77" s="5">
        <v>39.914771749999993</v>
      </c>
      <c r="H77" s="4">
        <v>385.9757048908096</v>
      </c>
      <c r="I77" s="5">
        <v>15.233232503531157</v>
      </c>
      <c r="J77" s="4">
        <v>1242.7633749627303</v>
      </c>
      <c r="K77" s="5">
        <v>45.831472906480471</v>
      </c>
      <c r="L77" s="4">
        <v>515.46183799985681</v>
      </c>
      <c r="M77" s="5">
        <v>11.564212720203262</v>
      </c>
      <c r="N77" s="5">
        <v>39.187998324000006</v>
      </c>
      <c r="O77" s="5">
        <v>28.261787269999996</v>
      </c>
      <c r="P77" s="5">
        <v>5.112666616666667</v>
      </c>
      <c r="Q77" s="5">
        <v>6.3700902700000013</v>
      </c>
    </row>
    <row r="78" spans="1:17">
      <c r="A78" s="2">
        <v>42491</v>
      </c>
      <c r="B78" s="3">
        <v>0.17170850861290321</v>
      </c>
      <c r="C78" s="3">
        <v>0.17170850861290321</v>
      </c>
      <c r="D78" s="3">
        <v>0.17170850861290321</v>
      </c>
      <c r="E78" s="3">
        <v>3.8927026290322568E-2</v>
      </c>
      <c r="F78" s="4">
        <v>528.59231190000003</v>
      </c>
      <c r="G78" s="5">
        <v>22.047796230000003</v>
      </c>
      <c r="H78" s="4">
        <v>135.68498612815537</v>
      </c>
      <c r="I78" s="6">
        <v>5.8096688788707915</v>
      </c>
      <c r="J78" s="4">
        <v>1149.3533790643985</v>
      </c>
      <c r="K78" s="5">
        <v>47.939987761986224</v>
      </c>
      <c r="L78" s="4">
        <v>433.02813079272875</v>
      </c>
      <c r="M78" s="5">
        <v>11.858670115895533</v>
      </c>
      <c r="N78" s="5">
        <v>27.563528098999999</v>
      </c>
      <c r="O78" s="5">
        <v>54.628127759999998</v>
      </c>
      <c r="P78" s="5">
        <v>11.928387096774198</v>
      </c>
      <c r="Q78" s="5">
        <v>13.380333732258066</v>
      </c>
    </row>
    <row r="79" spans="1:17">
      <c r="A79" s="2">
        <v>42522</v>
      </c>
      <c r="B79" s="3">
        <v>0.10024548443333335</v>
      </c>
      <c r="C79" s="3">
        <v>0.10024548443333335</v>
      </c>
      <c r="D79" s="3">
        <v>0.10024548443333335</v>
      </c>
      <c r="E79" s="3">
        <v>2.5607226733333335E-2</v>
      </c>
      <c r="F79" s="4">
        <v>210.51866069999997</v>
      </c>
      <c r="G79" s="6">
        <v>7.5173893500000002</v>
      </c>
      <c r="H79" s="5">
        <v>63.806225004236786</v>
      </c>
      <c r="I79" s="6">
        <v>3.0076715560043104</v>
      </c>
      <c r="J79" s="4">
        <v>810.1972500074861</v>
      </c>
      <c r="K79" s="5">
        <v>28.931250272781053</v>
      </c>
      <c r="L79" s="4">
        <v>161.32454718086777</v>
      </c>
      <c r="M79" s="6">
        <v>8.0944403757386443</v>
      </c>
      <c r="N79" s="5">
        <v>67.713701115000006</v>
      </c>
      <c r="O79" s="5">
        <v>71.788378699999996</v>
      </c>
      <c r="P79" s="5">
        <v>15.179999976666664</v>
      </c>
      <c r="Q79" s="5">
        <v>17.578023466666664</v>
      </c>
    </row>
    <row r="80" spans="1:17">
      <c r="A80" s="2">
        <v>42552</v>
      </c>
      <c r="B80" s="3">
        <v>6.298764903225805E-2</v>
      </c>
      <c r="C80" s="3">
        <v>6.298764903225805E-2</v>
      </c>
      <c r="D80" s="3">
        <v>6.298764903225805E-2</v>
      </c>
      <c r="E80" s="3">
        <v>1.5736067193548385E-2</v>
      </c>
      <c r="F80" s="4">
        <v>120.25661719999998</v>
      </c>
      <c r="G80" s="6">
        <v>4.8232545199999999</v>
      </c>
      <c r="H80" s="5">
        <v>36.684147097020855</v>
      </c>
      <c r="I80" s="6">
        <v>1.7692657694268128</v>
      </c>
      <c r="J80" s="4">
        <v>712.81712992657106</v>
      </c>
      <c r="K80" s="5">
        <v>28.58968250907839</v>
      </c>
      <c r="L80" s="5">
        <v>83.033702660910848</v>
      </c>
      <c r="M80" s="6">
        <v>8.391021743977829</v>
      </c>
      <c r="N80" s="5">
        <v>56.1323617818</v>
      </c>
      <c r="O80" s="5">
        <v>72.769288000000003</v>
      </c>
      <c r="P80" s="5">
        <v>17.470645000000005</v>
      </c>
      <c r="Q80" s="5">
        <v>20.142517677419356</v>
      </c>
    </row>
    <row r="81" spans="1:17">
      <c r="A81" s="2">
        <v>42583</v>
      </c>
      <c r="B81" s="3">
        <v>5.6284939064516121E-2</v>
      </c>
      <c r="C81" s="3">
        <v>5.6284939064516121E-2</v>
      </c>
      <c r="D81" s="3">
        <v>5.6284939064516121E-2</v>
      </c>
      <c r="E81" s="3">
        <v>1.9399510364516127E-2</v>
      </c>
      <c r="F81" s="5">
        <v>97.671158900000009</v>
      </c>
      <c r="G81" s="6">
        <v>4.1019592310000004</v>
      </c>
      <c r="H81" s="5">
        <v>47.549726854652249</v>
      </c>
      <c r="I81" s="6">
        <v>2.4453242258038013</v>
      </c>
      <c r="J81" s="4">
        <v>647.88614413061373</v>
      </c>
      <c r="K81" s="5">
        <v>27.20969566383619</v>
      </c>
      <c r="L81" s="5">
        <v>53.135930124774802</v>
      </c>
      <c r="M81" s="5">
        <v>11.555651976399082</v>
      </c>
      <c r="N81" s="5">
        <v>84.738856315199996</v>
      </c>
      <c r="O81" s="5">
        <v>66.238779600000015</v>
      </c>
      <c r="P81" s="5">
        <v>15.510645129032255</v>
      </c>
      <c r="Q81" s="5">
        <v>17.694064096774195</v>
      </c>
    </row>
    <row r="82" spans="1:17">
      <c r="A82" s="2">
        <v>42614</v>
      </c>
      <c r="B82" s="3">
        <v>5.1173655199999994E-2</v>
      </c>
      <c r="C82" s="3">
        <v>5.1173655199999994E-2</v>
      </c>
      <c r="D82" s="3">
        <v>5.1173655199999994E-2</v>
      </c>
      <c r="E82" s="3">
        <v>1.5458254813333332E-2</v>
      </c>
      <c r="F82" s="5">
        <v>92.800706599999998</v>
      </c>
      <c r="G82" s="6">
        <v>4.4117405610000002</v>
      </c>
      <c r="H82" s="5">
        <v>51.176493954623879</v>
      </c>
      <c r="I82" s="6">
        <v>1.8674420663651821</v>
      </c>
      <c r="J82" s="4">
        <v>699.63225717960631</v>
      </c>
      <c r="K82" s="5">
        <v>33.260479831862071</v>
      </c>
      <c r="L82" s="4">
        <v>121.33851173986881</v>
      </c>
      <c r="M82" s="5">
        <v>18.052506878347025</v>
      </c>
      <c r="N82" s="5">
        <v>20.040262448899998</v>
      </c>
      <c r="O82" s="5">
        <v>37.917930040000009</v>
      </c>
      <c r="P82" s="5">
        <v>13.536333333333333</v>
      </c>
      <c r="Q82" s="5">
        <v>14.691312333333332</v>
      </c>
    </row>
    <row r="83" spans="1:17">
      <c r="A83" s="2">
        <v>42644</v>
      </c>
      <c r="B83" s="3">
        <v>3.4520747451612911E-2</v>
      </c>
      <c r="C83" s="3">
        <v>3.4520747451612911E-2</v>
      </c>
      <c r="D83" s="3">
        <v>3.4520747451612911E-2</v>
      </c>
      <c r="E83" s="3">
        <v>9.5140590548387083E-3</v>
      </c>
      <c r="F83" s="5">
        <v>66.974240099999989</v>
      </c>
      <c r="G83" s="6">
        <v>3.0110781609999999</v>
      </c>
      <c r="H83" s="5">
        <v>25.737440581701435</v>
      </c>
      <c r="I83" s="6">
        <v>1.2429312211877834</v>
      </c>
      <c r="J83" s="4">
        <v>724.35615696802563</v>
      </c>
      <c r="K83" s="5">
        <v>32.566147601602765</v>
      </c>
      <c r="L83" s="4">
        <v>157.6251247718784</v>
      </c>
      <c r="M83" s="5">
        <v>21.762451618516845</v>
      </c>
      <c r="N83" s="5">
        <v>30.163722308000004</v>
      </c>
      <c r="O83" s="5">
        <v>19.781007010000003</v>
      </c>
      <c r="P83" s="5">
        <v>6.2216129161290326</v>
      </c>
      <c r="Q83" s="5">
        <v>6.8732822000000002</v>
      </c>
    </row>
    <row r="84" spans="1:17">
      <c r="A84" s="2">
        <v>42675</v>
      </c>
      <c r="B84" s="3">
        <v>0.3915457620333333</v>
      </c>
      <c r="C84" s="3">
        <v>0.3915457620333333</v>
      </c>
      <c r="D84" s="3">
        <v>0.3915457620333333</v>
      </c>
      <c r="E84" s="3">
        <v>0.18220712703333333</v>
      </c>
      <c r="F84" s="4">
        <v>1329.5131541000003</v>
      </c>
      <c r="G84" s="4">
        <v>102.60392827999999</v>
      </c>
      <c r="H84" s="4">
        <v>790.05945856721758</v>
      </c>
      <c r="I84" s="5">
        <v>35.556356739651939</v>
      </c>
      <c r="J84" s="4">
        <v>1310.0114392297373</v>
      </c>
      <c r="K84" s="4">
        <v>101.0989023228997</v>
      </c>
      <c r="L84" s="4">
        <v>356.97878223244237</v>
      </c>
      <c r="M84" s="5">
        <v>15.84641881669976</v>
      </c>
      <c r="N84" s="5">
        <v>93.281325148399986</v>
      </c>
      <c r="O84" s="5">
        <v>25.546027157670004</v>
      </c>
      <c r="P84" s="5">
        <v>0.84600000230000005</v>
      </c>
      <c r="Q84" s="5">
        <v>1.139179461249</v>
      </c>
    </row>
    <row r="85" spans="1:17">
      <c r="A85" s="2">
        <v>42705</v>
      </c>
      <c r="B85" s="3">
        <v>0.43608846225806458</v>
      </c>
      <c r="C85" s="3">
        <v>0.43608846225806458</v>
      </c>
      <c r="D85" s="3">
        <v>0.43608846225806458</v>
      </c>
      <c r="E85" s="3">
        <v>0.14755623561290324</v>
      </c>
      <c r="F85" s="4">
        <v>1879.2915849999997</v>
      </c>
      <c r="G85" s="5">
        <v>85.964965899999982</v>
      </c>
      <c r="H85" s="4">
        <v>784.0291394286578</v>
      </c>
      <c r="I85" s="5">
        <v>35.975627184575778</v>
      </c>
      <c r="J85" s="4">
        <v>1608.9557995043467</v>
      </c>
      <c r="K85" s="5">
        <v>73.598920544677853</v>
      </c>
      <c r="L85" s="4">
        <v>737.79408755913494</v>
      </c>
      <c r="M85" s="5">
        <v>16.909304811827404</v>
      </c>
      <c r="N85" s="5">
        <v>25.707027616000001</v>
      </c>
      <c r="O85" s="5">
        <v>10.020160647100001</v>
      </c>
      <c r="P85" s="5">
        <v>0.72548387935483882</v>
      </c>
      <c r="Q85" s="5">
        <v>0.42550987731456325</v>
      </c>
    </row>
    <row r="86" spans="1:17">
      <c r="A86" s="2">
        <v>42736</v>
      </c>
      <c r="B86" s="3">
        <v>0.40414468322580649</v>
      </c>
      <c r="C86" s="3">
        <v>0.40414468322580649</v>
      </c>
      <c r="D86" s="3">
        <v>0.40414468322580649</v>
      </c>
      <c r="E86" s="3">
        <v>0.13596973854838709</v>
      </c>
      <c r="F86" s="4">
        <v>1942.4315280000001</v>
      </c>
      <c r="G86" s="5">
        <v>95.93477510000001</v>
      </c>
      <c r="H86" s="4">
        <v>787.23669991643271</v>
      </c>
      <c r="I86" s="5">
        <v>39.662524889556494</v>
      </c>
      <c r="J86" s="4">
        <v>1794.4583992928428</v>
      </c>
      <c r="K86" s="5">
        <v>88.626527146441177</v>
      </c>
      <c r="L86" s="4">
        <v>999.75029616904703</v>
      </c>
      <c r="M86" s="5">
        <v>21.417074602687375</v>
      </c>
      <c r="N86" s="5">
        <v>28.088689186</v>
      </c>
      <c r="O86" s="6">
        <v>7.6335577525999998</v>
      </c>
      <c r="P86" s="5">
        <v>-1.7429032206451613</v>
      </c>
      <c r="Q86" s="5">
        <v>0.13489298638747674</v>
      </c>
    </row>
    <row r="87" spans="1:17">
      <c r="A87" s="2">
        <v>42767</v>
      </c>
      <c r="B87" s="3">
        <v>0.34088795464285715</v>
      </c>
      <c r="C87" s="3">
        <v>0.34088795464285715</v>
      </c>
      <c r="D87" s="3">
        <v>0.34088795464285715</v>
      </c>
      <c r="E87" s="3">
        <v>0.11249714332142856</v>
      </c>
      <c r="F87" s="4">
        <v>1337.6196770000004</v>
      </c>
      <c r="G87" s="5">
        <v>57.621993300000007</v>
      </c>
      <c r="H87" s="4">
        <v>486.33233947778166</v>
      </c>
      <c r="I87" s="5">
        <v>19.747236671758845</v>
      </c>
      <c r="J87" s="4">
        <v>1621.9938269991324</v>
      </c>
      <c r="K87" s="5">
        <v>69.872267036053117</v>
      </c>
      <c r="L87" s="4">
        <v>811.3810458131494</v>
      </c>
      <c r="M87" s="5">
        <v>16.50552496005259</v>
      </c>
      <c r="N87" s="5">
        <v>27.063067531200005</v>
      </c>
      <c r="O87" s="6">
        <v>7.5714334340999994</v>
      </c>
      <c r="P87" s="5">
        <v>-1.2471428633571424</v>
      </c>
      <c r="Q87" s="5">
        <v>1.1378155323917144E-2</v>
      </c>
    </row>
    <row r="88" spans="1:17">
      <c r="A88" s="2">
        <v>42795</v>
      </c>
      <c r="B88" s="3">
        <v>0.57024206999999993</v>
      </c>
      <c r="C88" s="3">
        <v>0.57024206999999993</v>
      </c>
      <c r="D88" s="3">
        <v>0.57024206999999993</v>
      </c>
      <c r="E88" s="3">
        <v>0.20626406809677419</v>
      </c>
      <c r="F88" s="4">
        <v>2824.1736050000009</v>
      </c>
      <c r="G88" s="4">
        <v>148.51673479999997</v>
      </c>
      <c r="H88" s="4">
        <v>1140.142312977885</v>
      </c>
      <c r="I88" s="5">
        <v>58.313422502474971</v>
      </c>
      <c r="J88" s="4">
        <v>1849.0841850277018</v>
      </c>
      <c r="K88" s="5">
        <v>97.239045021395981</v>
      </c>
      <c r="L88" s="4">
        <v>996.86723191529757</v>
      </c>
      <c r="M88" s="5">
        <v>19.937331944857242</v>
      </c>
      <c r="N88" s="5">
        <v>30.501540458799997</v>
      </c>
      <c r="O88" s="5">
        <v>15.4228511098</v>
      </c>
      <c r="P88" s="5">
        <v>2.1154838690322579</v>
      </c>
      <c r="Q88" s="5">
        <v>1.6576217389506451</v>
      </c>
    </row>
    <row r="89" spans="1:17">
      <c r="A89" s="2">
        <v>42826</v>
      </c>
      <c r="B89" s="3">
        <v>0.26310183966666673</v>
      </c>
      <c r="C89" s="3">
        <v>0.26310183966666673</v>
      </c>
      <c r="D89" s="3">
        <v>0.26310183966666673</v>
      </c>
      <c r="E89" s="3">
        <v>7.3907805866666662E-2</v>
      </c>
      <c r="F89" s="4">
        <v>905.88917600000013</v>
      </c>
      <c r="G89" s="5">
        <v>32.480264919999996</v>
      </c>
      <c r="H89" s="4">
        <v>271.01016694112309</v>
      </c>
      <c r="I89" s="6">
        <v>9.4772023822918339</v>
      </c>
      <c r="J89" s="4">
        <v>1328.3611422174138</v>
      </c>
      <c r="K89" s="5">
        <v>47.627815123416205</v>
      </c>
      <c r="L89" s="4">
        <v>540.86657861181129</v>
      </c>
      <c r="M89" s="5">
        <v>11.938711167315367</v>
      </c>
      <c r="N89" s="5">
        <v>22.723271370000003</v>
      </c>
      <c r="O89" s="5">
        <v>20.248564951999999</v>
      </c>
      <c r="P89" s="5">
        <v>3.9703333310000004</v>
      </c>
      <c r="Q89" s="5">
        <v>5.0994335</v>
      </c>
    </row>
    <row r="90" spans="1:17">
      <c r="A90" s="2">
        <v>42856</v>
      </c>
      <c r="B90" s="3">
        <v>0.14885793035483871</v>
      </c>
      <c r="C90" s="3">
        <v>0.14885793035483871</v>
      </c>
      <c r="D90" s="3">
        <v>0.14885793035483871</v>
      </c>
      <c r="E90" s="3">
        <v>3.5311917129032235E-2</v>
      </c>
      <c r="F90" s="4">
        <v>460.83562800000004</v>
      </c>
      <c r="G90" s="5">
        <v>16.345922910000002</v>
      </c>
      <c r="H90" s="4">
        <v>116.51913605776355</v>
      </c>
      <c r="I90" s="6">
        <v>4.1718385336965973</v>
      </c>
      <c r="J90" s="4">
        <v>1155.8423793447892</v>
      </c>
      <c r="K90" s="5">
        <v>40.997937648406058</v>
      </c>
      <c r="L90" s="4">
        <v>396.34089522292879</v>
      </c>
      <c r="M90" s="5">
        <v>11.216017990177553</v>
      </c>
      <c r="N90" s="5">
        <v>24.740254642099998</v>
      </c>
      <c r="O90" s="5">
        <v>45.671052079999995</v>
      </c>
      <c r="P90" s="5">
        <v>10.060967770967741</v>
      </c>
      <c r="Q90" s="5">
        <v>11.558333635483869</v>
      </c>
    </row>
    <row r="91" spans="1:17">
      <c r="A91" s="2">
        <v>42887</v>
      </c>
      <c r="B91" s="3">
        <v>7.8918609299999998E-2</v>
      </c>
      <c r="C91" s="3">
        <v>7.8918609299999998E-2</v>
      </c>
      <c r="D91" s="3">
        <v>7.8918609299999998E-2</v>
      </c>
      <c r="E91" s="3">
        <v>1.7578255266666669E-2</v>
      </c>
      <c r="F91" s="4">
        <v>176.21551770000005</v>
      </c>
      <c r="G91" s="6">
        <v>5.5822365100000004</v>
      </c>
      <c r="H91" s="5">
        <v>43.02051119337451</v>
      </c>
      <c r="I91" s="6">
        <v>1.7754707894526687</v>
      </c>
      <c r="J91" s="4">
        <v>861.44928000303457</v>
      </c>
      <c r="K91" s="5">
        <v>27.28938785217662</v>
      </c>
      <c r="L91" s="4">
        <v>137.52881570048402</v>
      </c>
      <c r="M91" s="6">
        <v>6.6605435419597017</v>
      </c>
      <c r="N91" s="5">
        <v>59.135989669999987</v>
      </c>
      <c r="O91" s="5">
        <v>70.8839823</v>
      </c>
      <c r="P91" s="5">
        <v>14.307999953333335</v>
      </c>
      <c r="Q91" s="5">
        <v>16.993173199999998</v>
      </c>
    </row>
    <row r="92" spans="1:17">
      <c r="A92" s="2">
        <v>42917</v>
      </c>
      <c r="B92" s="3">
        <v>4.3833010967741934E-2</v>
      </c>
      <c r="C92" s="3">
        <v>4.3833010967741934E-2</v>
      </c>
      <c r="D92" s="3">
        <v>4.3833010967741934E-2</v>
      </c>
      <c r="E92" s="3">
        <v>1.0513433851612906E-2</v>
      </c>
      <c r="F92" s="5">
        <v>86.13825580000001</v>
      </c>
      <c r="G92" s="6">
        <v>2.858900947</v>
      </c>
      <c r="H92" s="5">
        <v>24.151990651452142</v>
      </c>
      <c r="I92" s="6">
        <v>1.1920231525239096</v>
      </c>
      <c r="J92" s="4">
        <v>733.70133905649425</v>
      </c>
      <c r="K92" s="5">
        <v>24.35131128969979</v>
      </c>
      <c r="L92" s="5">
        <v>48.511709019902241</v>
      </c>
      <c r="M92" s="6">
        <v>6.7002518547941836</v>
      </c>
      <c r="N92" s="5">
        <v>26.150658198000002</v>
      </c>
      <c r="O92" s="5">
        <v>53.730322899999997</v>
      </c>
      <c r="P92" s="5">
        <v>15.972258032258065</v>
      </c>
      <c r="Q92" s="5">
        <v>18.553402129032261</v>
      </c>
    </row>
    <row r="93" spans="1:17">
      <c r="A93" s="2">
        <v>42948</v>
      </c>
      <c r="B93" s="3">
        <v>2.7701549258064524E-2</v>
      </c>
      <c r="C93" s="3">
        <v>2.7701549258064524E-2</v>
      </c>
      <c r="D93" s="3">
        <v>2.7701549258064524E-2</v>
      </c>
      <c r="E93" s="3">
        <v>6.7583969193548395E-3</v>
      </c>
      <c r="F93" s="5">
        <v>49.328019200000007</v>
      </c>
      <c r="G93" s="6">
        <v>1.7590398259999998</v>
      </c>
      <c r="H93" s="5">
        <v>14.090717313776773</v>
      </c>
      <c r="I93" s="3">
        <v>0.91149720728949069</v>
      </c>
      <c r="J93" s="4">
        <v>664.83543067192807</v>
      </c>
      <c r="K93" s="5">
        <v>23.708067371245853</v>
      </c>
      <c r="L93" s="6">
        <v>7.9272609682505841</v>
      </c>
      <c r="M93" s="6">
        <v>8.8222821645806029</v>
      </c>
      <c r="N93" s="5">
        <v>68.557985152000001</v>
      </c>
      <c r="O93" s="5">
        <v>55.784111559999999</v>
      </c>
      <c r="P93" s="5">
        <v>15.517419419354839</v>
      </c>
      <c r="Q93" s="5">
        <v>17.823731838709683</v>
      </c>
    </row>
    <row r="94" spans="1:17">
      <c r="A94" s="2">
        <v>42979</v>
      </c>
      <c r="B94" s="3">
        <v>5.837851270000001E-2</v>
      </c>
      <c r="C94" s="3">
        <v>5.837851270000001E-2</v>
      </c>
      <c r="D94" s="3">
        <v>5.837851270000001E-2</v>
      </c>
      <c r="E94" s="3">
        <v>2.3076180086666665E-2</v>
      </c>
      <c r="F94" s="5">
        <v>99.530246599999984</v>
      </c>
      <c r="G94" s="6">
        <v>4.7852009009999987</v>
      </c>
      <c r="H94" s="5">
        <v>73.934478995403538</v>
      </c>
      <c r="I94" s="6">
        <v>2.8612980191270125</v>
      </c>
      <c r="J94" s="4">
        <v>657.75936057296133</v>
      </c>
      <c r="K94" s="5">
        <v>31.623659997519724</v>
      </c>
      <c r="L94" s="5">
        <v>78.257391103889688</v>
      </c>
      <c r="M94" s="5">
        <v>19.79497033411343</v>
      </c>
      <c r="N94" s="5">
        <v>62.189817925399993</v>
      </c>
      <c r="O94" s="5">
        <v>49.236254489999993</v>
      </c>
      <c r="P94" s="5">
        <v>11.994333326666666</v>
      </c>
      <c r="Q94" s="5">
        <v>13.202014299999997</v>
      </c>
    </row>
    <row r="95" spans="1:17">
      <c r="A95" s="2">
        <v>43009</v>
      </c>
      <c r="B95" s="3">
        <v>0.53722303503225799</v>
      </c>
      <c r="C95" s="3">
        <v>0.53722303503225799</v>
      </c>
      <c r="D95" s="3">
        <v>0.53722303503225799</v>
      </c>
      <c r="E95" s="3">
        <v>0.24747416877419348</v>
      </c>
      <c r="F95" s="4">
        <v>1962.2556565000002</v>
      </c>
      <c r="G95" s="4">
        <v>126.34721657000001</v>
      </c>
      <c r="H95" s="4">
        <v>1161.7652370557535</v>
      </c>
      <c r="I95" s="5">
        <v>51.527865945076101</v>
      </c>
      <c r="J95" s="4">
        <v>1363.7209226366467</v>
      </c>
      <c r="K95" s="5">
        <v>87.808305525820316</v>
      </c>
      <c r="L95" s="4">
        <v>334.91985535768617</v>
      </c>
      <c r="M95" s="5">
        <v>15.004455044358364</v>
      </c>
      <c r="N95" s="4">
        <v>127.75782164690001</v>
      </c>
      <c r="O95" s="5">
        <v>48.858087916000002</v>
      </c>
      <c r="P95" s="5">
        <v>6.7264516451612906</v>
      </c>
      <c r="Q95" s="5">
        <v>7.1944175419354846</v>
      </c>
    </row>
    <row r="96" spans="1:17">
      <c r="A96" s="2">
        <v>43040</v>
      </c>
      <c r="B96" s="3">
        <v>0.78032540366666658</v>
      </c>
      <c r="C96" s="3">
        <v>0.78032540366666658</v>
      </c>
      <c r="D96" s="3">
        <v>0.78032540366666658</v>
      </c>
      <c r="E96" s="3">
        <v>0.29166260466666666</v>
      </c>
      <c r="F96" s="4">
        <v>3547.6828740000001</v>
      </c>
      <c r="G96" s="4">
        <v>181.34834180000004</v>
      </c>
      <c r="H96" s="4">
        <v>1559.7436290391197</v>
      </c>
      <c r="I96" s="5">
        <v>78.568026205655528</v>
      </c>
      <c r="J96" s="4">
        <v>1754.0179259001038</v>
      </c>
      <c r="K96" s="5">
        <v>89.660845565201996</v>
      </c>
      <c r="L96" s="4">
        <v>826.19820366941917</v>
      </c>
      <c r="M96" s="5">
        <v>20.363199368435385</v>
      </c>
      <c r="N96" s="5">
        <v>66.052081430000001</v>
      </c>
      <c r="O96" s="5">
        <v>21.724103741899999</v>
      </c>
      <c r="P96" s="5">
        <v>2.3883333433333331</v>
      </c>
      <c r="Q96" s="5">
        <v>1.8850918583399998</v>
      </c>
    </row>
    <row r="97" spans="1:17">
      <c r="A97" s="2">
        <v>43070</v>
      </c>
      <c r="B97" s="6">
        <v>1.0096061267741938</v>
      </c>
      <c r="C97" s="6">
        <v>1.0096061267741938</v>
      </c>
      <c r="D97" s="6">
        <v>1.0096061267741938</v>
      </c>
      <c r="E97" s="3">
        <v>0.35694055064516128</v>
      </c>
      <c r="F97" s="4">
        <v>4988.2289900000005</v>
      </c>
      <c r="G97" s="4">
        <v>241.50530910000003</v>
      </c>
      <c r="H97" s="4">
        <v>2010.7133906602271</v>
      </c>
      <c r="I97" s="4">
        <v>101.10843013673954</v>
      </c>
      <c r="J97" s="4">
        <v>1844.6710860393227</v>
      </c>
      <c r="K97" s="5">
        <v>89.309826786435821</v>
      </c>
      <c r="L97" s="4">
        <v>924.71398015168188</v>
      </c>
      <c r="M97" s="5">
        <v>20.462385873519221</v>
      </c>
      <c r="N97" s="5">
        <v>68.596804666800011</v>
      </c>
      <c r="O97" s="5">
        <v>17.858151689370001</v>
      </c>
      <c r="P97" s="5">
        <v>-2.3225800645161224E-2</v>
      </c>
      <c r="Q97" s="5">
        <v>0.19512719411612903</v>
      </c>
    </row>
    <row r="98" spans="1:17">
      <c r="A98" s="2">
        <v>43101</v>
      </c>
      <c r="B98" s="6">
        <v>1.1321940138709672</v>
      </c>
      <c r="C98" s="6">
        <v>1.1321940138709672</v>
      </c>
      <c r="D98" s="6">
        <v>1.1321940138709672</v>
      </c>
      <c r="E98" s="3">
        <v>0.39626184354838706</v>
      </c>
      <c r="F98" s="4">
        <v>5058.9817290000001</v>
      </c>
      <c r="G98" s="4">
        <v>225.0463025</v>
      </c>
      <c r="H98" s="4">
        <v>1932.9612842081069</v>
      </c>
      <c r="I98" s="5">
        <v>89.215556560382964</v>
      </c>
      <c r="J98" s="4">
        <v>1668.271762628887</v>
      </c>
      <c r="K98" s="5">
        <v>74.212246289380332</v>
      </c>
      <c r="L98" s="4">
        <v>811.95151452132257</v>
      </c>
      <c r="M98" s="5">
        <v>17.226444500257983</v>
      </c>
      <c r="N98" s="5">
        <v>62.940984538000002</v>
      </c>
      <c r="O98" s="5">
        <v>16.301911998000001</v>
      </c>
      <c r="P98" s="5">
        <v>-1.4551612919354833</v>
      </c>
      <c r="Q98" s="5">
        <v>0.13554837102903225</v>
      </c>
    </row>
    <row r="99" spans="1:17">
      <c r="A99" s="2">
        <v>43132</v>
      </c>
      <c r="B99" s="3">
        <v>0.69965874714285692</v>
      </c>
      <c r="C99" s="3">
        <v>0.69965874714285692</v>
      </c>
      <c r="D99" s="3">
        <v>0.69965874714285692</v>
      </c>
      <c r="E99" s="3">
        <v>0.20555110000000007</v>
      </c>
      <c r="F99" s="4">
        <v>2775.9935860000005</v>
      </c>
      <c r="G99" s="4">
        <v>126.8582083</v>
      </c>
      <c r="H99" s="4">
        <v>939.75887016433728</v>
      </c>
      <c r="I99" s="5">
        <v>45.935792309747129</v>
      </c>
      <c r="J99" s="4">
        <v>1640.0624818224351</v>
      </c>
      <c r="K99" s="5">
        <v>74.948078270386461</v>
      </c>
      <c r="L99" s="4">
        <v>852.53871260827418</v>
      </c>
      <c r="M99" s="5">
        <v>17.981580004556541</v>
      </c>
      <c r="N99" s="5">
        <v>33.341477735399998</v>
      </c>
      <c r="O99" s="6">
        <v>7.9716341491000007</v>
      </c>
      <c r="P99" s="5">
        <v>-4.6828571467857145</v>
      </c>
      <c r="Q99" s="5">
        <v>9.6852014468403573E-3</v>
      </c>
    </row>
    <row r="100" spans="1:17">
      <c r="A100" s="2">
        <v>43160</v>
      </c>
      <c r="B100" s="3">
        <v>0.39425875548387096</v>
      </c>
      <c r="C100" s="3">
        <v>0.39425875548387096</v>
      </c>
      <c r="D100" s="3">
        <v>0.39425875548387096</v>
      </c>
      <c r="E100" s="3">
        <v>0.1207109543548387</v>
      </c>
      <c r="F100" s="4">
        <v>1636.3158799999999</v>
      </c>
      <c r="G100" s="5">
        <v>65.652032399999996</v>
      </c>
      <c r="H100" s="4">
        <v>629.91640909628961</v>
      </c>
      <c r="I100" s="5">
        <v>32.116223012740328</v>
      </c>
      <c r="J100" s="4">
        <v>1549.5669637118699</v>
      </c>
      <c r="K100" s="5">
        <v>62.171504658842885</v>
      </c>
      <c r="L100" s="4">
        <v>791.05425612678459</v>
      </c>
      <c r="M100" s="5">
        <v>17.139210070270845</v>
      </c>
      <c r="N100" s="5">
        <v>27.810439801299999</v>
      </c>
      <c r="O100" s="6">
        <v>7.2621679140999991</v>
      </c>
      <c r="P100" s="5">
        <v>-3.0348387025806449</v>
      </c>
      <c r="Q100" s="5">
        <v>1.0467139580864515E-2</v>
      </c>
    </row>
    <row r="101" spans="1:17">
      <c r="A101" s="2">
        <v>43191</v>
      </c>
      <c r="B101" s="6">
        <v>1.0321267686666669</v>
      </c>
      <c r="C101" s="6">
        <v>1.0321267686666669</v>
      </c>
      <c r="D101" s="6">
        <v>1.0321267686666669</v>
      </c>
      <c r="E101" s="3">
        <v>0.39151440599999998</v>
      </c>
      <c r="F101" s="4">
        <v>4229.9990899999993</v>
      </c>
      <c r="G101" s="4">
        <v>228.41047410000002</v>
      </c>
      <c r="H101" s="4">
        <v>1628.9653887316249</v>
      </c>
      <c r="I101" s="5">
        <v>86.851224197217974</v>
      </c>
      <c r="J101" s="4">
        <v>1581.1468944758096</v>
      </c>
      <c r="K101" s="5">
        <v>85.378391656728226</v>
      </c>
      <c r="L101" s="4">
        <v>889.59637193931951</v>
      </c>
      <c r="M101" s="5">
        <v>18.546862149155917</v>
      </c>
      <c r="N101" s="5">
        <v>32.941106910000002</v>
      </c>
      <c r="O101" s="5">
        <v>30.37008003</v>
      </c>
      <c r="P101" s="5">
        <v>5.8003333466666671</v>
      </c>
      <c r="Q101" s="5">
        <v>4.4049159964999998</v>
      </c>
    </row>
    <row r="102" spans="1:17">
      <c r="A102" s="2">
        <v>43221</v>
      </c>
      <c r="B102" s="3">
        <v>0.25908645387096768</v>
      </c>
      <c r="C102" s="3">
        <v>0.25908645387096768</v>
      </c>
      <c r="D102" s="3">
        <v>0.25908645387096768</v>
      </c>
      <c r="E102" s="3">
        <v>5.0780608161290333E-2</v>
      </c>
      <c r="F102" s="4">
        <v>660.77915140000016</v>
      </c>
      <c r="G102" s="5">
        <v>18.847726290000001</v>
      </c>
      <c r="H102" s="4">
        <v>150.20911873901193</v>
      </c>
      <c r="I102" s="6">
        <v>4.706217983087809</v>
      </c>
      <c r="J102" s="4">
        <v>952.21752664682549</v>
      </c>
      <c r="K102" s="5">
        <v>27.160565117349492</v>
      </c>
      <c r="L102" s="4">
        <v>192.11398148840286</v>
      </c>
      <c r="M102" s="6">
        <v>4.586212850052136</v>
      </c>
      <c r="N102" s="6">
        <v>7.6907948758</v>
      </c>
      <c r="O102" s="5">
        <v>54.847741899999988</v>
      </c>
      <c r="P102" s="5">
        <v>14.944193580645162</v>
      </c>
      <c r="Q102" s="5">
        <v>16.263805503225807</v>
      </c>
    </row>
    <row r="103" spans="1:17">
      <c r="A103" s="2">
        <v>43252</v>
      </c>
      <c r="B103" s="3">
        <v>9.0815432833333334E-2</v>
      </c>
      <c r="C103" s="3">
        <v>9.0815432833333334E-2</v>
      </c>
      <c r="D103" s="3">
        <v>9.0815432833333334E-2</v>
      </c>
      <c r="E103" s="3">
        <v>1.5336186133333334E-2</v>
      </c>
      <c r="F103" s="4">
        <v>183.08231609999999</v>
      </c>
      <c r="G103" s="6">
        <v>4.3177270600000002</v>
      </c>
      <c r="H103" s="5">
        <v>36.839152919268479</v>
      </c>
      <c r="I103" s="6">
        <v>1.63151494081777</v>
      </c>
      <c r="J103" s="4">
        <v>777.77097238038255</v>
      </c>
      <c r="K103" s="5">
        <v>18.342583958197633</v>
      </c>
      <c r="L103" s="6">
        <v>7.0586535008467202</v>
      </c>
      <c r="M103" s="3">
        <v>0.9093549971679411</v>
      </c>
      <c r="N103" s="5">
        <v>38.591669615000001</v>
      </c>
      <c r="O103" s="5">
        <v>49.067107339999993</v>
      </c>
      <c r="P103" s="5">
        <v>15.980666763333334</v>
      </c>
      <c r="Q103" s="5">
        <v>18.684711933333332</v>
      </c>
    </row>
    <row r="104" spans="1:17">
      <c r="A104" s="2">
        <v>43282</v>
      </c>
      <c r="B104" s="3">
        <v>5.3155872580645157E-2</v>
      </c>
      <c r="C104" s="3">
        <v>5.3155872580645157E-2</v>
      </c>
      <c r="D104" s="3">
        <v>5.3155872580645157E-2</v>
      </c>
      <c r="E104" s="3">
        <v>1.4538457267741934E-2</v>
      </c>
      <c r="F104" s="4">
        <v>102.9076996</v>
      </c>
      <c r="G104" s="6">
        <v>2.9898902330000001</v>
      </c>
      <c r="H104" s="5">
        <v>31.194574831324214</v>
      </c>
      <c r="I104" s="6">
        <v>2.1376307461111845</v>
      </c>
      <c r="J104" s="4">
        <v>722.80502375008678</v>
      </c>
      <c r="K104" s="5">
        <v>21.000447362152087</v>
      </c>
      <c r="L104" s="5">
        <v>14.904546483251718</v>
      </c>
      <c r="M104" s="6">
        <v>4.6080928480504442</v>
      </c>
      <c r="N104" s="5">
        <v>49.258783185999995</v>
      </c>
      <c r="O104" s="5">
        <v>52.764295700000012</v>
      </c>
      <c r="P104" s="5">
        <v>20.951935483870969</v>
      </c>
      <c r="Q104" s="5">
        <v>23.194380903225809</v>
      </c>
    </row>
    <row r="105" spans="1:17">
      <c r="A105" s="2">
        <v>43313</v>
      </c>
      <c r="B105" s="3">
        <v>4.5736723580645171E-2</v>
      </c>
      <c r="C105" s="3">
        <v>4.5736723580645171E-2</v>
      </c>
      <c r="D105" s="3">
        <v>4.5736723580645171E-2</v>
      </c>
      <c r="E105" s="3">
        <v>1.2027596764516131E-2</v>
      </c>
      <c r="F105" s="5">
        <v>83.07774830000001</v>
      </c>
      <c r="G105" s="6">
        <v>3.5280394889999998</v>
      </c>
      <c r="H105" s="5">
        <v>21.398520593784756</v>
      </c>
      <c r="I105" s="6">
        <v>1.6039569933690299</v>
      </c>
      <c r="J105" s="4">
        <v>678.17879965189161</v>
      </c>
      <c r="K105" s="5">
        <v>28.800029218091289</v>
      </c>
      <c r="L105" s="5">
        <v>23.098000319530932</v>
      </c>
      <c r="M105" s="6">
        <v>9.6698777885431859</v>
      </c>
      <c r="N105" s="5">
        <v>75.652275152999991</v>
      </c>
      <c r="O105" s="5">
        <v>69.416998700000022</v>
      </c>
      <c r="P105" s="5">
        <v>17.815806451612907</v>
      </c>
      <c r="Q105" s="5">
        <v>20.225600516129035</v>
      </c>
    </row>
    <row r="106" spans="1:17">
      <c r="A106" s="2">
        <v>43344</v>
      </c>
      <c r="B106" s="3">
        <v>3.3562790666666661E-2</v>
      </c>
      <c r="C106" s="3">
        <v>3.3562790666666661E-2</v>
      </c>
      <c r="D106" s="3">
        <v>3.3562790666666661E-2</v>
      </c>
      <c r="E106" s="3">
        <v>1.017765359E-2</v>
      </c>
      <c r="F106" s="5">
        <v>53.412943800000008</v>
      </c>
      <c r="G106" s="6">
        <v>2.7308696640000005</v>
      </c>
      <c r="H106" s="5">
        <v>16.853911955260241</v>
      </c>
      <c r="I106" s="6">
        <v>1.2772459201952815</v>
      </c>
      <c r="J106" s="4">
        <v>613.97886740977981</v>
      </c>
      <c r="K106" s="5">
        <v>31.391198069715781</v>
      </c>
      <c r="L106" s="4">
        <v>112.6268815539165</v>
      </c>
      <c r="M106" s="5">
        <v>20.035353383174176</v>
      </c>
      <c r="N106" s="5">
        <v>55.68337900400001</v>
      </c>
      <c r="O106" s="5">
        <v>44.957668200000001</v>
      </c>
      <c r="P106" s="5">
        <v>12.922666779999998</v>
      </c>
      <c r="Q106" s="5">
        <v>14.465397943333334</v>
      </c>
    </row>
    <row r="107" spans="1:17">
      <c r="A107" s="2">
        <v>43374</v>
      </c>
      <c r="B107" s="3">
        <v>3.1764844838709679E-2</v>
      </c>
      <c r="C107" s="3">
        <v>3.1764844838709679E-2</v>
      </c>
      <c r="D107" s="3">
        <v>3.1764844838709679E-2</v>
      </c>
      <c r="E107" s="3">
        <v>1.0715363629032257E-2</v>
      </c>
      <c r="F107" s="5">
        <v>49.20020259999999</v>
      </c>
      <c r="G107" s="6">
        <v>2.9333231120000005</v>
      </c>
      <c r="H107" s="5">
        <v>23.846256712790705</v>
      </c>
      <c r="I107" s="6">
        <v>1.3635212920663509</v>
      </c>
      <c r="J107" s="4">
        <v>578.28869164096852</v>
      </c>
      <c r="K107" s="5">
        <v>34.477653963625905</v>
      </c>
      <c r="L107" s="4">
        <v>162.37214600762692</v>
      </c>
      <c r="M107" s="5">
        <v>27.159244862669393</v>
      </c>
      <c r="N107" s="5">
        <v>29.769206303399997</v>
      </c>
      <c r="O107" s="5">
        <v>24.148182969999997</v>
      </c>
      <c r="P107" s="5">
        <v>7.3058064751612903</v>
      </c>
      <c r="Q107" s="5">
        <v>7.5060943322580655</v>
      </c>
    </row>
    <row r="108" spans="1:17">
      <c r="A108" s="2">
        <v>43405</v>
      </c>
      <c r="B108" s="3">
        <v>3.9265189533333328E-2</v>
      </c>
      <c r="C108" s="3">
        <v>3.9265189533333328E-2</v>
      </c>
      <c r="D108" s="3">
        <v>3.9265189533333328E-2</v>
      </c>
      <c r="E108" s="3">
        <v>1.4168008530000002E-2</v>
      </c>
      <c r="F108" s="5">
        <v>61.095362399999992</v>
      </c>
      <c r="G108" s="6">
        <v>3.8710694300000004</v>
      </c>
      <c r="H108" s="5">
        <v>37.933141779126956</v>
      </c>
      <c r="I108" s="6">
        <v>1.6086905750863203</v>
      </c>
      <c r="J108" s="4">
        <v>600.2961082640868</v>
      </c>
      <c r="K108" s="5">
        <v>38.035422676542531</v>
      </c>
      <c r="L108" s="4">
        <v>187.24666210191077</v>
      </c>
      <c r="M108" s="5">
        <v>31.34862047329651</v>
      </c>
      <c r="N108" s="5">
        <v>27.260389502999999</v>
      </c>
      <c r="O108" s="5">
        <v>15.578859664499998</v>
      </c>
      <c r="P108" s="5">
        <v>3.2853333276666672</v>
      </c>
      <c r="Q108" s="5">
        <v>3.8389522730206664</v>
      </c>
    </row>
    <row r="109" spans="1:17">
      <c r="A109" s="2">
        <v>43435</v>
      </c>
      <c r="B109" s="3">
        <v>0.19687011461290324</v>
      </c>
      <c r="C109" s="3">
        <v>0.19687011461290324</v>
      </c>
      <c r="D109" s="3">
        <v>0.19687011461290324</v>
      </c>
      <c r="E109" s="3">
        <v>8.8815087612903257E-2</v>
      </c>
      <c r="F109" s="4">
        <v>625.00318269999991</v>
      </c>
      <c r="G109" s="5">
        <v>19.049788379999999</v>
      </c>
      <c r="H109" s="4">
        <v>387.64317483321099</v>
      </c>
      <c r="I109" s="6">
        <v>7.2668893508696488</v>
      </c>
      <c r="J109" s="4">
        <v>1185.2964660069017</v>
      </c>
      <c r="K109" s="5">
        <v>36.127250671339219</v>
      </c>
      <c r="L109" s="4">
        <v>321.91928318883049</v>
      </c>
      <c r="M109" s="5">
        <v>20.152182268525966</v>
      </c>
      <c r="N109" s="5">
        <v>50.627424432000005</v>
      </c>
      <c r="O109" s="5">
        <v>13.895797158399997</v>
      </c>
      <c r="P109" s="5">
        <v>-0.44419353000000028</v>
      </c>
      <c r="Q109" s="5">
        <v>4.7871848135483862E-2</v>
      </c>
    </row>
    <row r="110" spans="1:17">
      <c r="A110" s="2">
        <v>43466</v>
      </c>
      <c r="B110" s="3">
        <v>0.21867294483870975</v>
      </c>
      <c r="C110" s="3">
        <v>0.21867294483870975</v>
      </c>
      <c r="D110" s="3">
        <v>0.21867294483870975</v>
      </c>
      <c r="E110" s="3">
        <v>7.9565769999999994E-2</v>
      </c>
      <c r="F110" s="4">
        <v>763.25034000000028</v>
      </c>
      <c r="G110" s="5">
        <v>17.289153429999999</v>
      </c>
      <c r="H110" s="4">
        <v>313.51425580005161</v>
      </c>
      <c r="I110" s="6">
        <v>7.1887298853537134</v>
      </c>
      <c r="J110" s="4">
        <v>1303.1562691263118</v>
      </c>
      <c r="K110" s="5">
        <v>29.519107289403113</v>
      </c>
      <c r="L110" s="4">
        <v>420.66114998725675</v>
      </c>
      <c r="M110" s="5">
        <v>11.056646681453847</v>
      </c>
      <c r="N110" s="5">
        <v>46.200424527900005</v>
      </c>
      <c r="O110" s="5">
        <v>11.406360037900001</v>
      </c>
      <c r="P110" s="5">
        <v>-3.6338709651612908</v>
      </c>
      <c r="Q110" s="5">
        <v>6.1267370299999992E-3</v>
      </c>
    </row>
    <row r="111" spans="1:17">
      <c r="A111" s="2">
        <v>43497</v>
      </c>
      <c r="B111" s="3">
        <v>0.86571059464285693</v>
      </c>
      <c r="C111" s="3">
        <v>0.86571059464285693</v>
      </c>
      <c r="D111" s="3">
        <v>0.86571059464285693</v>
      </c>
      <c r="E111" s="3">
        <v>0.36390565703571431</v>
      </c>
      <c r="F111" s="4">
        <v>4162.9445780000005</v>
      </c>
      <c r="G111" s="4">
        <v>283.26339045000009</v>
      </c>
      <c r="H111" s="4">
        <v>1959.1538564232176</v>
      </c>
      <c r="I111" s="4">
        <v>110.17151432037227</v>
      </c>
      <c r="J111" s="4">
        <v>1987.7240823770185</v>
      </c>
      <c r="K111" s="4">
        <v>135.25269320965174</v>
      </c>
      <c r="L111" s="4">
        <v>1116.2888937802181</v>
      </c>
      <c r="M111" s="5">
        <v>23.692540241926526</v>
      </c>
      <c r="N111" s="5">
        <v>45.650578799999998</v>
      </c>
      <c r="O111" s="5">
        <v>15.741648905430003</v>
      </c>
      <c r="P111" s="5">
        <v>0.61857143932142866</v>
      </c>
      <c r="Q111" s="5">
        <v>0.37561896153535718</v>
      </c>
    </row>
    <row r="112" spans="1:17">
      <c r="A112" s="2">
        <v>43525</v>
      </c>
      <c r="B112" s="3">
        <v>0.98499553193548395</v>
      </c>
      <c r="C112" s="3">
        <v>0.98499553193548395</v>
      </c>
      <c r="D112" s="3">
        <v>0.98499553193548395</v>
      </c>
      <c r="E112" s="3">
        <v>0.34419857870967746</v>
      </c>
      <c r="F112" s="4">
        <v>4537.659498</v>
      </c>
      <c r="G112" s="4">
        <v>206.00453490000001</v>
      </c>
      <c r="H112" s="4">
        <v>1791.9839159060402</v>
      </c>
      <c r="I112" s="5">
        <v>82.505130949778433</v>
      </c>
      <c r="J112" s="4">
        <v>1719.9752123229664</v>
      </c>
      <c r="K112" s="5">
        <v>78.084900802435556</v>
      </c>
      <c r="L112" s="4">
        <v>875.13473862215142</v>
      </c>
      <c r="M112" s="5">
        <v>18.015937865236509</v>
      </c>
      <c r="N112" s="5">
        <v>57.845173461100003</v>
      </c>
      <c r="O112" s="5">
        <v>21.846740996899999</v>
      </c>
      <c r="P112" s="5">
        <v>1.5677419596774196</v>
      </c>
      <c r="Q112" s="5">
        <v>1.4701087546387097</v>
      </c>
    </row>
    <row r="113" spans="1:17">
      <c r="A113" s="2">
        <v>43556</v>
      </c>
      <c r="B113" s="3">
        <v>0.34901905833333341</v>
      </c>
      <c r="C113" s="3">
        <v>0.34901905833333341</v>
      </c>
      <c r="D113" s="3">
        <v>0.34901905833333341</v>
      </c>
      <c r="E113" s="3">
        <v>7.6409753100000005E-2</v>
      </c>
      <c r="F113" s="4">
        <v>1149.9697750000003</v>
      </c>
      <c r="G113" s="5">
        <v>35.637032269999999</v>
      </c>
      <c r="H113" s="4">
        <v>277.84163475435139</v>
      </c>
      <c r="I113" s="6">
        <v>8.229701837567287</v>
      </c>
      <c r="J113" s="4">
        <v>1271.1659712414291</v>
      </c>
      <c r="K113" s="5">
        <v>39.392847196677792</v>
      </c>
      <c r="L113" s="4">
        <v>468.36649937724627</v>
      </c>
      <c r="M113" s="5">
        <v>10.215979511730069</v>
      </c>
      <c r="N113" s="6">
        <v>5.9616529055000003</v>
      </c>
      <c r="O113" s="5">
        <v>25.369511866829999</v>
      </c>
      <c r="P113" s="5">
        <v>6.5046667239666665</v>
      </c>
      <c r="Q113" s="5">
        <v>7.3507904066666674</v>
      </c>
    </row>
    <row r="114" spans="1:17">
      <c r="A114" s="2">
        <v>43586</v>
      </c>
      <c r="B114" s="3">
        <v>0.15472476935483873</v>
      </c>
      <c r="C114" s="3">
        <v>0.15472476935483873</v>
      </c>
      <c r="D114" s="3">
        <v>0.15472476935483873</v>
      </c>
      <c r="E114" s="3">
        <v>3.1531617322580641E-2</v>
      </c>
      <c r="F114" s="4">
        <v>394.81303369999989</v>
      </c>
      <c r="G114" s="5">
        <v>10.016789380000002</v>
      </c>
      <c r="H114" s="5">
        <v>94.506349079513569</v>
      </c>
      <c r="I114" s="6">
        <v>3.0577697988784198</v>
      </c>
      <c r="J114" s="4">
        <v>952.70002431708099</v>
      </c>
      <c r="K114" s="5">
        <v>24.170923494345836</v>
      </c>
      <c r="L114" s="4">
        <v>207.63284622348965</v>
      </c>
      <c r="M114" s="6">
        <v>7.3068921618902554</v>
      </c>
      <c r="N114" s="5">
        <v>64.869475087999987</v>
      </c>
      <c r="O114" s="5">
        <v>57.910009879999997</v>
      </c>
      <c r="P114" s="5">
        <v>10.039032219354837</v>
      </c>
      <c r="Q114" s="5">
        <v>12.106263270967743</v>
      </c>
    </row>
    <row r="115" spans="1:17">
      <c r="A115" s="2">
        <v>43617</v>
      </c>
      <c r="B115" s="3">
        <v>7.9366192099999983E-2</v>
      </c>
      <c r="C115" s="3">
        <v>7.9366192099999983E-2</v>
      </c>
      <c r="D115" s="3">
        <v>7.9366192099999983E-2</v>
      </c>
      <c r="E115" s="3">
        <v>1.6181377446666669E-2</v>
      </c>
      <c r="F115" s="4">
        <v>167.93989540000004</v>
      </c>
      <c r="G115" s="6">
        <v>4.5803116589999995</v>
      </c>
      <c r="H115" s="5">
        <v>42.774731150898127</v>
      </c>
      <c r="I115" s="6">
        <v>1.6049879499534039</v>
      </c>
      <c r="J115" s="4">
        <v>816.36301450017606</v>
      </c>
      <c r="K115" s="5">
        <v>22.265091051108602</v>
      </c>
      <c r="L115" s="5">
        <v>81.111359669857009</v>
      </c>
      <c r="M115" s="6">
        <v>5.7021346710957674</v>
      </c>
      <c r="N115" s="5">
        <v>35.185896936000006</v>
      </c>
      <c r="O115" s="5">
        <v>69.080500399999991</v>
      </c>
      <c r="P115" s="5">
        <v>17.097000266666669</v>
      </c>
      <c r="Q115" s="5">
        <v>19.371661033333339</v>
      </c>
    </row>
    <row r="116" spans="1:17">
      <c r="A116" s="2">
        <v>43647</v>
      </c>
      <c r="B116" s="3">
        <v>8.1271468064516128E-2</v>
      </c>
      <c r="C116" s="3">
        <v>8.1271468064516128E-2</v>
      </c>
      <c r="D116" s="3">
        <v>8.1271468064516128E-2</v>
      </c>
      <c r="E116" s="3">
        <v>2.4759421622580643E-2</v>
      </c>
      <c r="F116" s="4">
        <v>164.73754589999999</v>
      </c>
      <c r="G116" s="6">
        <v>5.6069256040000006</v>
      </c>
      <c r="H116" s="5">
        <v>68.244650219052204</v>
      </c>
      <c r="I116" s="6">
        <v>3.3312902589298394</v>
      </c>
      <c r="J116" s="4">
        <v>756.79634536492233</v>
      </c>
      <c r="K116" s="5">
        <v>25.757945606829534</v>
      </c>
      <c r="L116" s="5">
        <v>61.610241648624033</v>
      </c>
      <c r="M116" s="6">
        <v>8.6812524589350222</v>
      </c>
      <c r="N116" s="5">
        <v>83.165684479999982</v>
      </c>
      <c r="O116" s="5">
        <v>78.129760200000007</v>
      </c>
      <c r="P116" s="5">
        <v>16.215806354838712</v>
      </c>
      <c r="Q116" s="5">
        <v>18.802054129032257</v>
      </c>
    </row>
    <row r="117" spans="1:17">
      <c r="A117" s="2">
        <v>43678</v>
      </c>
      <c r="B117" s="3">
        <v>8.1407266709677406E-2</v>
      </c>
      <c r="C117" s="3">
        <v>8.1407266709677406E-2</v>
      </c>
      <c r="D117" s="3">
        <v>8.1407266709677406E-2</v>
      </c>
      <c r="E117" s="3">
        <v>2.8098088193548386E-2</v>
      </c>
      <c r="F117" s="4">
        <v>169.0711661</v>
      </c>
      <c r="G117" s="6">
        <v>6.7639901799999995</v>
      </c>
      <c r="H117" s="4">
        <v>101.7210608277706</v>
      </c>
      <c r="I117" s="6">
        <v>3.4862395795693639</v>
      </c>
      <c r="J117" s="4">
        <v>775.40915152355524</v>
      </c>
      <c r="K117" s="5">
        <v>31.021610490332762</v>
      </c>
      <c r="L117" s="5">
        <v>91.825883132307752</v>
      </c>
      <c r="M117" s="5">
        <v>13.619703485904992</v>
      </c>
      <c r="N117" s="5">
        <v>78.712171372599997</v>
      </c>
      <c r="O117" s="5">
        <v>72.91606329999999</v>
      </c>
      <c r="P117" s="5">
        <v>16.653548387096773</v>
      </c>
      <c r="Q117" s="5">
        <v>18.498781516129032</v>
      </c>
    </row>
    <row r="118" spans="1:17">
      <c r="A118" s="2">
        <v>43709</v>
      </c>
      <c r="B118" s="3">
        <v>5.7930392199999993E-2</v>
      </c>
      <c r="C118" s="3">
        <v>5.7930392199999993E-2</v>
      </c>
      <c r="D118" s="3">
        <v>5.7930392199999993E-2</v>
      </c>
      <c r="E118" s="3">
        <v>1.7642250866666664E-2</v>
      </c>
      <c r="F118" s="4">
        <v>132.4619127</v>
      </c>
      <c r="G118" s="6">
        <v>4.7586843199999995</v>
      </c>
      <c r="H118" s="5">
        <v>63.789248561152846</v>
      </c>
      <c r="I118" s="6">
        <v>2.1330712501982121</v>
      </c>
      <c r="J118" s="4">
        <v>882.16440261681942</v>
      </c>
      <c r="K118" s="5">
        <v>31.691690628024702</v>
      </c>
      <c r="L118" s="4">
        <v>116.383019405491</v>
      </c>
      <c r="M118" s="5">
        <v>15.659585988373177</v>
      </c>
      <c r="N118" s="5">
        <v>53.12379859739999</v>
      </c>
      <c r="O118" s="5">
        <v>44.401913580000013</v>
      </c>
      <c r="P118" s="5">
        <v>11.651666630000001</v>
      </c>
      <c r="Q118" s="5">
        <v>13.204706040000003</v>
      </c>
    </row>
    <row r="119" spans="1:17">
      <c r="A119" s="2">
        <v>43739</v>
      </c>
      <c r="B119" s="3">
        <v>0.24567410654838712</v>
      </c>
      <c r="C119" s="3">
        <v>0.24567410654838712</v>
      </c>
      <c r="D119" s="3">
        <v>0.24567410654838712</v>
      </c>
      <c r="E119" s="3">
        <v>0.11012658525806454</v>
      </c>
      <c r="F119" s="4">
        <v>778.29609889999983</v>
      </c>
      <c r="G119" s="5">
        <v>22.466990509999999</v>
      </c>
      <c r="H119" s="4">
        <v>475.06847051526972</v>
      </c>
      <c r="I119" s="5">
        <v>10.205431955541762</v>
      </c>
      <c r="J119" s="4">
        <v>1182.7964535528806</v>
      </c>
      <c r="K119" s="5">
        <v>34.143658969266447</v>
      </c>
      <c r="L119" s="4">
        <v>137.72886811210947</v>
      </c>
      <c r="M119" s="5">
        <v>13.802161721972869</v>
      </c>
      <c r="N119" s="5">
        <v>80.905783172499994</v>
      </c>
      <c r="O119" s="5">
        <v>35.227760775</v>
      </c>
      <c r="P119" s="5">
        <v>5.9793548712903215</v>
      </c>
      <c r="Q119" s="5">
        <v>6.3303082967741942</v>
      </c>
    </row>
    <row r="120" spans="1:17">
      <c r="A120" s="2">
        <v>43770</v>
      </c>
      <c r="B120" s="3">
        <v>0.62171770966666662</v>
      </c>
      <c r="C120" s="3">
        <v>0.62171770966666662</v>
      </c>
      <c r="D120" s="3">
        <v>0.62171770966666662</v>
      </c>
      <c r="E120" s="3">
        <v>0.25671393469999998</v>
      </c>
      <c r="F120" s="4">
        <v>2652.6540679999994</v>
      </c>
      <c r="G120" s="4">
        <v>176.40693850000002</v>
      </c>
      <c r="H120" s="4">
        <v>1352.4974921113876</v>
      </c>
      <c r="I120" s="5">
        <v>79.736580287479143</v>
      </c>
      <c r="J120" s="4">
        <v>1646.0854143008792</v>
      </c>
      <c r="K120" s="4">
        <v>109.46805998045667</v>
      </c>
      <c r="L120" s="4">
        <v>679.10129899340245</v>
      </c>
      <c r="M120" s="5">
        <v>18.15014391832938</v>
      </c>
      <c r="N120" s="5">
        <v>82.260860146599981</v>
      </c>
      <c r="O120" s="5">
        <v>25.877839705300001</v>
      </c>
      <c r="P120" s="5">
        <v>2.6670000233333324</v>
      </c>
      <c r="Q120" s="5">
        <v>2.1034016953333334</v>
      </c>
    </row>
    <row r="121" spans="1:17">
      <c r="A121" s="2">
        <v>43800</v>
      </c>
      <c r="B121" s="6">
        <v>1.6683544258064518</v>
      </c>
      <c r="C121" s="6">
        <v>1.6683544258064518</v>
      </c>
      <c r="D121" s="6">
        <v>1.6683544258064518</v>
      </c>
      <c r="E121" s="3">
        <v>0.61721827322580647</v>
      </c>
      <c r="F121" s="4">
        <v>8093.1248699999996</v>
      </c>
      <c r="G121" s="4">
        <v>413.66934609999993</v>
      </c>
      <c r="H121" s="4">
        <v>3268.9566803066805</v>
      </c>
      <c r="I121" s="4">
        <v>162.70256167986935</v>
      </c>
      <c r="J121" s="4">
        <v>1811.1418436020535</v>
      </c>
      <c r="K121" s="5">
        <v>92.574114006736053</v>
      </c>
      <c r="L121" s="4">
        <v>905.48831435218051</v>
      </c>
      <c r="M121" s="5">
        <v>20.170619276769234</v>
      </c>
      <c r="N121" s="5">
        <v>88.854756469999998</v>
      </c>
      <c r="O121" s="5">
        <v>25.779427337999994</v>
      </c>
      <c r="P121" s="5">
        <v>1.425161271935484</v>
      </c>
      <c r="Q121" s="5">
        <v>0.87607530341935502</v>
      </c>
    </row>
    <row r="122" spans="1:17">
      <c r="A122" s="2">
        <v>43831</v>
      </c>
      <c r="B122" s="3">
        <v>0.60472050161290325</v>
      </c>
      <c r="C122" s="3">
        <v>0.60472050161290325</v>
      </c>
      <c r="D122" s="3">
        <v>0.60472050161290325</v>
      </c>
      <c r="E122" s="3">
        <v>0.1542478111290323</v>
      </c>
      <c r="F122" s="4">
        <v>2264.8178779999998</v>
      </c>
      <c r="G122" s="5">
        <v>80.822311799999994</v>
      </c>
      <c r="H122" s="4">
        <v>683.91593077156108</v>
      </c>
      <c r="I122" s="5">
        <v>25.938712439707757</v>
      </c>
      <c r="J122" s="4">
        <v>1398.3089539874593</v>
      </c>
      <c r="K122" s="5">
        <v>49.900066825988006</v>
      </c>
      <c r="L122" s="4">
        <v>543.37508267283636</v>
      </c>
      <c r="M122" s="5">
        <v>12.101871025600804</v>
      </c>
      <c r="N122" s="5">
        <v>20.683222399999998</v>
      </c>
      <c r="O122" s="5">
        <v>12.2442107199</v>
      </c>
      <c r="P122" s="5">
        <v>2.9374193483870972</v>
      </c>
      <c r="Q122" s="5">
        <v>1.9378828625806452</v>
      </c>
    </row>
    <row r="123" spans="1:17">
      <c r="A123" s="2">
        <v>43862</v>
      </c>
      <c r="B123" s="3">
        <v>0.45886535931034467</v>
      </c>
      <c r="C123" s="3">
        <v>0.45886535931034467</v>
      </c>
      <c r="D123" s="3">
        <v>0.45886535931034467</v>
      </c>
      <c r="E123" s="3">
        <v>0.14313664872413792</v>
      </c>
      <c r="F123" s="4">
        <v>1732.6595679999998</v>
      </c>
      <c r="G123" s="5">
        <v>65.436065100000008</v>
      </c>
      <c r="H123" s="4">
        <v>643.50539230859783</v>
      </c>
      <c r="I123" s="5">
        <v>28.051718761746255</v>
      </c>
      <c r="J123" s="4">
        <v>1507.0102548740351</v>
      </c>
      <c r="K123" s="5">
        <v>56.914134883010455</v>
      </c>
      <c r="L123" s="4">
        <v>668.85365512674639</v>
      </c>
      <c r="M123" s="5">
        <v>14.915650779815611</v>
      </c>
      <c r="N123" s="5">
        <v>29.404666503999998</v>
      </c>
      <c r="O123" s="5">
        <v>12.662695238699998</v>
      </c>
      <c r="P123" s="5">
        <v>1.5855172358620691</v>
      </c>
      <c r="Q123" s="5">
        <v>1.2370543341034481</v>
      </c>
    </row>
    <row r="124" spans="1:17">
      <c r="A124" s="2">
        <v>43891</v>
      </c>
      <c r="B124" s="3">
        <v>0.72787992483870956</v>
      </c>
      <c r="C124" s="3">
        <v>0.72787992483870956</v>
      </c>
      <c r="D124" s="3">
        <v>0.72787992483870956</v>
      </c>
      <c r="E124" s="3">
        <v>0.25542409612903222</v>
      </c>
      <c r="F124" s="4">
        <v>3289.3141290000003</v>
      </c>
      <c r="G124" s="4">
        <v>170.4519741</v>
      </c>
      <c r="H124" s="4">
        <v>1277.8206641883628</v>
      </c>
      <c r="I124" s="5">
        <v>66.697526291669107</v>
      </c>
      <c r="J124" s="4">
        <v>1687.213936474265</v>
      </c>
      <c r="K124" s="5">
        <v>87.431281175003619</v>
      </c>
      <c r="L124" s="4">
        <v>896.68660481728318</v>
      </c>
      <c r="M124" s="5">
        <v>18.662118326240034</v>
      </c>
      <c r="N124" s="5">
        <v>39.606186271200002</v>
      </c>
      <c r="O124" s="5">
        <v>17.823611295300008</v>
      </c>
      <c r="P124" s="5">
        <v>2.5045161477354849</v>
      </c>
      <c r="Q124" s="5">
        <v>2.3248769903225805</v>
      </c>
    </row>
    <row r="125" spans="1:17">
      <c r="A125" s="2">
        <v>43922</v>
      </c>
      <c r="B125" s="3">
        <v>0.22475511366666662</v>
      </c>
      <c r="C125" s="3">
        <v>0.22475511366666662</v>
      </c>
      <c r="D125" s="3">
        <v>0.22475511366666662</v>
      </c>
      <c r="E125" s="3">
        <v>5.0181991899999986E-2</v>
      </c>
      <c r="F125" s="4">
        <v>718.48651699999982</v>
      </c>
      <c r="G125" s="5">
        <v>20.358147610000003</v>
      </c>
      <c r="H125" s="4">
        <v>172.77905614266325</v>
      </c>
      <c r="I125" s="6">
        <v>4.9525692975648621</v>
      </c>
      <c r="J125" s="4">
        <v>1233.3150375119112</v>
      </c>
      <c r="K125" s="5">
        <v>34.945692678677347</v>
      </c>
      <c r="L125" s="4">
        <v>446.57251275432736</v>
      </c>
      <c r="M125" s="5">
        <v>10.622225050763214</v>
      </c>
      <c r="N125" s="5">
        <v>17.893049122299999</v>
      </c>
      <c r="O125" s="5">
        <v>26.004978429999998</v>
      </c>
      <c r="P125" s="5">
        <v>5.932000023333333</v>
      </c>
      <c r="Q125" s="5">
        <v>7.1071927999999991</v>
      </c>
    </row>
    <row r="126" spans="1:17">
      <c r="A126" s="2">
        <v>43952</v>
      </c>
      <c r="B126" s="3">
        <v>0.27400280225806456</v>
      </c>
      <c r="C126" s="3">
        <v>0.27400280225806456</v>
      </c>
      <c r="D126" s="3">
        <v>0.27400280225806456</v>
      </c>
      <c r="E126" s="3">
        <v>9.2080878419354806E-2</v>
      </c>
      <c r="F126" s="4">
        <v>835.6253029999998</v>
      </c>
      <c r="G126" s="5">
        <v>30.362528860000001</v>
      </c>
      <c r="H126" s="4">
        <v>349.56816644210591</v>
      </c>
      <c r="I126" s="5">
        <v>15.376805274123981</v>
      </c>
      <c r="J126" s="4">
        <v>1138.6260720438613</v>
      </c>
      <c r="K126" s="5">
        <v>41.372092930252542</v>
      </c>
      <c r="L126" s="4">
        <v>371.90485332488464</v>
      </c>
      <c r="M126" s="5">
        <v>12.384415434486751</v>
      </c>
      <c r="N126" s="5">
        <v>62.756957699000012</v>
      </c>
      <c r="O126" s="5">
        <v>52.883766589999993</v>
      </c>
      <c r="P126" s="5">
        <v>8.7029032290322572</v>
      </c>
      <c r="Q126" s="5">
        <v>10.203386667741933</v>
      </c>
    </row>
    <row r="127" spans="1:17">
      <c r="A127" s="2">
        <v>43983</v>
      </c>
      <c r="B127" s="3">
        <v>0.1274167853</v>
      </c>
      <c r="C127" s="3">
        <v>0.1274167853</v>
      </c>
      <c r="D127" s="3">
        <v>0.1274167853</v>
      </c>
      <c r="E127" s="3">
        <v>2.966833080000001E-2</v>
      </c>
      <c r="F127" s="4">
        <v>335.41659720000007</v>
      </c>
      <c r="G127" s="5">
        <v>12.066572859999999</v>
      </c>
      <c r="H127" s="5">
        <v>84.861570514170552</v>
      </c>
      <c r="I127" s="6">
        <v>3.551902809365433</v>
      </c>
      <c r="J127" s="4">
        <v>1015.6004584519886</v>
      </c>
      <c r="K127" s="5">
        <v>36.536107186646404</v>
      </c>
      <c r="L127" s="4">
        <v>259.53458272673805</v>
      </c>
      <c r="M127" s="6">
        <v>9.6726095446788136</v>
      </c>
      <c r="N127" s="5">
        <v>58.288266097900006</v>
      </c>
      <c r="O127" s="5">
        <v>79.503405299999997</v>
      </c>
      <c r="P127" s="5">
        <v>17.201333433333332</v>
      </c>
      <c r="Q127" s="5">
        <v>19.41318046666667</v>
      </c>
    </row>
    <row r="128" spans="1:17">
      <c r="A128" s="2">
        <v>44013</v>
      </c>
      <c r="B128" s="3">
        <v>0.1188642648387097</v>
      </c>
      <c r="C128" s="3">
        <v>0.1188642648387097</v>
      </c>
      <c r="D128" s="3">
        <v>0.1188642648387097</v>
      </c>
      <c r="E128" s="3">
        <v>3.8214472709677413E-2</v>
      </c>
      <c r="F128" s="4">
        <v>269.12872310000006</v>
      </c>
      <c r="G128" s="6">
        <v>9.9547494900000011</v>
      </c>
      <c r="H128" s="4">
        <v>116.02210244131851</v>
      </c>
      <c r="I128" s="6">
        <v>4.7105804651014953</v>
      </c>
      <c r="J128" s="4">
        <v>845.34362886175018</v>
      </c>
      <c r="K128" s="5">
        <v>31.268249076165105</v>
      </c>
      <c r="L128" s="4">
        <v>133.3829709497881</v>
      </c>
      <c r="M128" s="6">
        <v>8.2174511154224454</v>
      </c>
      <c r="N128" s="4">
        <v>100.865476761</v>
      </c>
      <c r="O128" s="5">
        <v>83.587954699999983</v>
      </c>
      <c r="P128" s="5">
        <v>15.491612870967737</v>
      </c>
      <c r="Q128" s="5">
        <v>18.185447612903229</v>
      </c>
    </row>
    <row r="129" spans="1:17">
      <c r="A129" s="2">
        <v>44044</v>
      </c>
      <c r="B129" s="3">
        <v>6.4109588419354838E-2</v>
      </c>
      <c r="C129" s="3">
        <v>6.4109588419354838E-2</v>
      </c>
      <c r="D129" s="3">
        <v>6.4109588419354838E-2</v>
      </c>
      <c r="E129" s="3">
        <v>1.6677141222580648E-2</v>
      </c>
      <c r="F129" s="4">
        <v>139.80349219999999</v>
      </c>
      <c r="G129" s="6">
        <v>4.858714677</v>
      </c>
      <c r="H129" s="5">
        <v>46.212753980028914</v>
      </c>
      <c r="I129" s="6">
        <v>1.9340150875912725</v>
      </c>
      <c r="J129" s="4">
        <v>814.17838966742215</v>
      </c>
      <c r="K129" s="5">
        <v>28.295863219452439</v>
      </c>
      <c r="L129" s="4">
        <v>107.13421208224653</v>
      </c>
      <c r="M129" s="6">
        <v>9.955575982045799</v>
      </c>
      <c r="N129" s="5">
        <v>39.534354430999997</v>
      </c>
      <c r="O129" s="5">
        <v>56.898652999999989</v>
      </c>
      <c r="P129" s="5">
        <v>17.175161387096775</v>
      </c>
      <c r="Q129" s="5">
        <v>19.308928935483873</v>
      </c>
    </row>
    <row r="130" spans="1:17">
      <c r="A130" s="2">
        <v>44075</v>
      </c>
      <c r="B130" s="3">
        <v>4.7636877933333335E-2</v>
      </c>
      <c r="C130" s="3">
        <v>4.7636877933333335E-2</v>
      </c>
      <c r="D130" s="3">
        <v>4.7636877933333335E-2</v>
      </c>
      <c r="E130" s="3">
        <v>1.2493931123333336E-2</v>
      </c>
      <c r="F130" s="5">
        <v>91.836347000000004</v>
      </c>
      <c r="G130" s="6">
        <v>3.2811239489999999</v>
      </c>
      <c r="H130" s="5">
        <v>30.303475061621178</v>
      </c>
      <c r="I130" s="6">
        <v>1.4264742358668012</v>
      </c>
      <c r="J130" s="4">
        <v>743.76595978070554</v>
      </c>
      <c r="K130" s="5">
        <v>26.573228551171812</v>
      </c>
      <c r="L130" s="4">
        <v>102.2599747299499</v>
      </c>
      <c r="M130" s="5">
        <v>13.75138747055523</v>
      </c>
      <c r="N130" s="5">
        <v>35.425277583699994</v>
      </c>
      <c r="O130" s="5">
        <v>42.466323320000001</v>
      </c>
      <c r="P130" s="5">
        <v>12.57833334</v>
      </c>
      <c r="Q130" s="5">
        <v>13.615407899999999</v>
      </c>
    </row>
    <row r="131" spans="1:17">
      <c r="A131" s="2">
        <v>44105</v>
      </c>
      <c r="B131" s="3">
        <v>0.17635827296774192</v>
      </c>
      <c r="C131" s="3">
        <v>0.17635827296774192</v>
      </c>
      <c r="D131" s="3">
        <v>0.17635827296774192</v>
      </c>
      <c r="E131" s="3">
        <v>8.6948896109677432E-2</v>
      </c>
      <c r="F131" s="4">
        <v>450.36654500000003</v>
      </c>
      <c r="G131" s="5">
        <v>16.221994589000001</v>
      </c>
      <c r="H131" s="4">
        <v>331.31255399333185</v>
      </c>
      <c r="I131" s="6">
        <v>8.266447106554411</v>
      </c>
      <c r="J131" s="4">
        <v>953.44319216170629</v>
      </c>
      <c r="K131" s="5">
        <v>34.342583127332425</v>
      </c>
      <c r="L131" s="4">
        <v>161.95132774117209</v>
      </c>
      <c r="M131" s="5">
        <v>17.896565459563178</v>
      </c>
      <c r="N131" s="5">
        <v>95.963321855000004</v>
      </c>
      <c r="O131" s="5">
        <v>43.109881979999997</v>
      </c>
      <c r="P131" s="5">
        <v>7.9532257967741931</v>
      </c>
      <c r="Q131" s="5">
        <v>8.3467586032258065</v>
      </c>
    </row>
    <row r="132" spans="1:17">
      <c r="A132" s="2">
        <v>44136</v>
      </c>
      <c r="B132" s="3">
        <v>0.21730937533333333</v>
      </c>
      <c r="C132" s="3">
        <v>0.21730937533333333</v>
      </c>
      <c r="D132" s="3">
        <v>0.21730937533333333</v>
      </c>
      <c r="E132" s="3">
        <v>7.9240889266666684E-2</v>
      </c>
      <c r="F132" s="4">
        <v>622.88454699999988</v>
      </c>
      <c r="G132" s="5">
        <v>17.08879598</v>
      </c>
      <c r="H132" s="4">
        <v>278.53230222453169</v>
      </c>
      <c r="I132" s="6">
        <v>7.2859861545644264</v>
      </c>
      <c r="J132" s="4">
        <v>1105.8445472496724</v>
      </c>
      <c r="K132" s="5">
        <v>30.338771268249648</v>
      </c>
      <c r="L132" s="4">
        <v>151.23983442999057</v>
      </c>
      <c r="M132" s="5">
        <v>10.454269850080049</v>
      </c>
      <c r="N132" s="5">
        <v>33.906422881899992</v>
      </c>
      <c r="O132" s="5">
        <v>21.766951405999997</v>
      </c>
      <c r="P132" s="5">
        <v>5.5429999666666667</v>
      </c>
      <c r="Q132" s="5">
        <v>5.1271723526666673</v>
      </c>
    </row>
    <row r="133" spans="1:17">
      <c r="A133" s="2">
        <v>44166</v>
      </c>
      <c r="B133" s="3">
        <v>0.57588488967741935</v>
      </c>
      <c r="C133" s="3">
        <v>0.57588488967741935</v>
      </c>
      <c r="D133" s="3">
        <v>0.57588488967741935</v>
      </c>
      <c r="E133" s="3">
        <v>0.2421440523225806</v>
      </c>
      <c r="F133" s="4">
        <v>2717.6953790000002</v>
      </c>
      <c r="G133" s="4">
        <v>197.69452182000001</v>
      </c>
      <c r="H133" s="4">
        <v>1420.1162756719916</v>
      </c>
      <c r="I133" s="5">
        <v>87.974102462868444</v>
      </c>
      <c r="J133" s="4">
        <v>1761.9340180174654</v>
      </c>
      <c r="K133" s="4">
        <v>128.16914515466749</v>
      </c>
      <c r="L133" s="4">
        <v>874.49383790788477</v>
      </c>
      <c r="M133" s="5">
        <v>20.916825608224666</v>
      </c>
      <c r="N133" s="5">
        <v>74.796027128000006</v>
      </c>
      <c r="O133" s="5">
        <v>24.037182312000002</v>
      </c>
      <c r="P133" s="5">
        <v>2.7467741941935482</v>
      </c>
      <c r="Q133" s="5">
        <v>1.6617737766451615</v>
      </c>
    </row>
    <row r="134" spans="1:17">
      <c r="A134" s="2">
        <v>44197</v>
      </c>
      <c r="B134" s="3">
        <v>0.83441191451612895</v>
      </c>
      <c r="C134" s="3">
        <v>0.83441191451612895</v>
      </c>
      <c r="D134" s="3">
        <v>0.83441191451612895</v>
      </c>
      <c r="E134" s="3">
        <v>0.29188838580645154</v>
      </c>
      <c r="F134" s="4">
        <v>4289.2691500000001</v>
      </c>
      <c r="G134" s="4">
        <v>239.38986360000001</v>
      </c>
      <c r="H134" s="4">
        <v>1711.769166993073</v>
      </c>
      <c r="I134" s="5">
        <v>85.69566278970639</v>
      </c>
      <c r="J134" s="4">
        <v>1919.2314533671788</v>
      </c>
      <c r="K134" s="4">
        <v>107.114881496264</v>
      </c>
      <c r="L134" s="4">
        <v>1042.1797571704899</v>
      </c>
      <c r="M134" s="5">
        <v>21.860490533151076</v>
      </c>
      <c r="N134" s="5">
        <v>75.173750756999993</v>
      </c>
      <c r="O134" s="5">
        <v>18.501188428799999</v>
      </c>
      <c r="P134" s="5">
        <v>-2.3587097203225804</v>
      </c>
      <c r="Q134" s="5">
        <v>0.10373944290645161</v>
      </c>
    </row>
    <row r="135" spans="1:17">
      <c r="A135" s="2">
        <v>44228</v>
      </c>
      <c r="B135" s="3">
        <v>0.74868131321428577</v>
      </c>
      <c r="C135" s="3">
        <v>0.74868131321428577</v>
      </c>
      <c r="D135" s="3">
        <v>0.74868131321428577</v>
      </c>
      <c r="E135" s="3">
        <v>0.28287871557142857</v>
      </c>
      <c r="F135" s="4">
        <v>3238.4571449999994</v>
      </c>
      <c r="G135" s="4">
        <v>154.46147769999999</v>
      </c>
      <c r="H135" s="4">
        <v>1357.7874957454333</v>
      </c>
      <c r="I135" s="5">
        <v>66.537888658880163</v>
      </c>
      <c r="J135" s="4">
        <v>1788.0075998898317</v>
      </c>
      <c r="K135" s="5">
        <v>85.280824684899372</v>
      </c>
      <c r="L135" s="4">
        <v>949.4138425574132</v>
      </c>
      <c r="M135" s="5">
        <v>19.392007839994122</v>
      </c>
      <c r="N135" s="5">
        <v>24.032011542999999</v>
      </c>
      <c r="O135" s="6">
        <v>9.0549807530000006</v>
      </c>
      <c r="P135" s="5">
        <v>-3.6428571285785738</v>
      </c>
      <c r="Q135" s="5">
        <v>0.20565792318892859</v>
      </c>
    </row>
    <row r="136" spans="1:17">
      <c r="A136" s="2">
        <v>44256</v>
      </c>
      <c r="B136" s="3">
        <v>0.88067989870967744</v>
      </c>
      <c r="C136" s="3">
        <v>0.88067989870967744</v>
      </c>
      <c r="D136" s="3">
        <v>0.88067989870967744</v>
      </c>
      <c r="E136" s="3">
        <v>0.27492822870967748</v>
      </c>
      <c r="F136" s="4">
        <v>3758.9935129999994</v>
      </c>
      <c r="G136" s="4">
        <v>155.28810540000001</v>
      </c>
      <c r="H136" s="4">
        <v>1273.1197961589849</v>
      </c>
      <c r="I136" s="5">
        <v>51.703260242711991</v>
      </c>
      <c r="J136" s="4">
        <v>1593.595293661094</v>
      </c>
      <c r="K136" s="5">
        <v>65.833152977339807</v>
      </c>
      <c r="L136" s="4">
        <v>785.56407514810746</v>
      </c>
      <c r="M136" s="5">
        <v>15.304048114064335</v>
      </c>
      <c r="N136" s="5">
        <v>15.286345952</v>
      </c>
      <c r="O136" s="5">
        <v>13.661270424999998</v>
      </c>
      <c r="P136" s="5">
        <v>2.4061290629032253</v>
      </c>
      <c r="Q136" s="5">
        <v>2.1099303748419351</v>
      </c>
    </row>
    <row r="137" spans="1:17">
      <c r="A137" s="2">
        <v>44287</v>
      </c>
      <c r="B137" s="3">
        <v>0.3726810496666666</v>
      </c>
      <c r="C137" s="3">
        <v>0.3726810496666666</v>
      </c>
      <c r="D137" s="3">
        <v>0.3726810496666666</v>
      </c>
      <c r="E137" s="3">
        <v>0.10830615573333334</v>
      </c>
      <c r="F137" s="4">
        <v>1235.6993450000002</v>
      </c>
      <c r="G137" s="5">
        <v>38.306648410000001</v>
      </c>
      <c r="H137" s="4">
        <v>431.69045551216095</v>
      </c>
      <c r="I137" s="5">
        <v>16.848263370931409</v>
      </c>
      <c r="J137" s="4">
        <v>1279.2060194997341</v>
      </c>
      <c r="K137" s="5">
        <v>39.655353515141456</v>
      </c>
      <c r="L137" s="4">
        <v>489.01329408632932</v>
      </c>
      <c r="M137" s="5">
        <v>10.881114324163571</v>
      </c>
      <c r="N137" s="5">
        <v>37.818146670000012</v>
      </c>
      <c r="O137" s="5">
        <v>24.417067219999996</v>
      </c>
      <c r="P137" s="5">
        <v>4.3163333733333342</v>
      </c>
      <c r="Q137" s="5">
        <v>5.8114294533333322</v>
      </c>
    </row>
    <row r="138" spans="1:17">
      <c r="A138" s="2">
        <v>44317</v>
      </c>
      <c r="B138" s="3">
        <v>0.70259301967741927</v>
      </c>
      <c r="C138" s="3">
        <v>0.70259301967741927</v>
      </c>
      <c r="D138" s="3">
        <v>0.70259301967741927</v>
      </c>
      <c r="E138" s="3">
        <v>0.27140270696774194</v>
      </c>
      <c r="F138" s="4">
        <v>2765.9140550000002</v>
      </c>
      <c r="G138" s="4">
        <v>166.36576040000003</v>
      </c>
      <c r="H138" s="4">
        <v>1215.8584818742536</v>
      </c>
      <c r="I138" s="5">
        <v>74.332474407212956</v>
      </c>
      <c r="J138" s="4">
        <v>1469.8039060494189</v>
      </c>
      <c r="K138" s="5">
        <v>88.406595292602347</v>
      </c>
      <c r="L138" s="4">
        <v>712.13797138739869</v>
      </c>
      <c r="M138" s="5">
        <v>17.252794963467341</v>
      </c>
      <c r="N138" s="4">
        <v>114.44435407999998</v>
      </c>
      <c r="O138" s="5">
        <v>69.824288640000006</v>
      </c>
      <c r="P138" s="5">
        <v>9.5954838903225799</v>
      </c>
      <c r="Q138" s="5">
        <v>10.52455905483871</v>
      </c>
    </row>
    <row r="139" spans="1:17">
      <c r="A139" s="2">
        <v>44348</v>
      </c>
      <c r="B139" s="3">
        <v>0.35483797200000006</v>
      </c>
      <c r="C139" s="3">
        <v>0.35483797200000006</v>
      </c>
      <c r="D139" s="3">
        <v>0.35483797200000006</v>
      </c>
      <c r="E139" s="3">
        <v>7.939907563333333E-2</v>
      </c>
      <c r="F139" s="4">
        <v>1214.6528570000003</v>
      </c>
      <c r="G139" s="5">
        <v>59.616249699999997</v>
      </c>
      <c r="H139" s="4">
        <v>304.91114831797285</v>
      </c>
      <c r="I139" s="5">
        <v>12.771749545466452</v>
      </c>
      <c r="J139" s="4">
        <v>1320.647951739197</v>
      </c>
      <c r="K139" s="5">
        <v>64.818583604201606</v>
      </c>
      <c r="L139" s="4">
        <v>536.57929345170226</v>
      </c>
      <c r="M139" s="5">
        <v>12.341880548848026</v>
      </c>
      <c r="N139" s="5">
        <v>45.92698309</v>
      </c>
      <c r="O139" s="5">
        <v>82.608030099999979</v>
      </c>
      <c r="P139" s="5">
        <v>17.613</v>
      </c>
      <c r="Q139" s="5">
        <v>19.310608600000005</v>
      </c>
    </row>
    <row r="140" spans="1:17">
      <c r="A140" s="2">
        <v>44378</v>
      </c>
      <c r="B140" s="3">
        <v>9.3040639870967737E-2</v>
      </c>
      <c r="C140" s="3">
        <v>9.3040639870967737E-2</v>
      </c>
      <c r="D140" s="3">
        <v>9.3040639870967737E-2</v>
      </c>
      <c r="E140" s="3">
        <v>1.5081608709677419E-2</v>
      </c>
      <c r="F140" s="4">
        <v>204.22234410000002</v>
      </c>
      <c r="G140" s="6">
        <v>5.3047937759999995</v>
      </c>
      <c r="H140" s="5">
        <v>36.810221213174678</v>
      </c>
      <c r="I140" s="6">
        <v>1.5079017807670534</v>
      </c>
      <c r="J140" s="4">
        <v>819.51160071578772</v>
      </c>
      <c r="K140" s="5">
        <v>21.287289028685091</v>
      </c>
      <c r="L140" s="5">
        <v>20.706937113078844</v>
      </c>
      <c r="M140" s="3">
        <v>0.58524641702496527</v>
      </c>
      <c r="N140" s="5">
        <v>29.273501340000003</v>
      </c>
      <c r="O140" s="5">
        <v>61.003108299999994</v>
      </c>
      <c r="P140" s="5">
        <v>19.58451606451613</v>
      </c>
      <c r="Q140" s="5">
        <v>22.182153935483861</v>
      </c>
    </row>
    <row r="141" spans="1:17">
      <c r="A141" s="2">
        <v>44409</v>
      </c>
      <c r="B141" s="3">
        <v>0.10028422922580645</v>
      </c>
      <c r="C141" s="3">
        <v>0.10028422922580645</v>
      </c>
      <c r="D141" s="3">
        <v>0.10028422922580645</v>
      </c>
      <c r="E141" s="3">
        <v>3.2369915141935483E-2</v>
      </c>
      <c r="F141" s="4">
        <v>201.71801149999996</v>
      </c>
      <c r="G141" s="6">
        <v>6.8629117689999992</v>
      </c>
      <c r="H141" s="5">
        <v>85.249707329895855</v>
      </c>
      <c r="I141" s="6">
        <v>4.094960382155195</v>
      </c>
      <c r="J141" s="4">
        <v>750.99420261729585</v>
      </c>
      <c r="K141" s="5">
        <v>25.550553913302224</v>
      </c>
      <c r="L141" s="5">
        <v>94.04198962464686</v>
      </c>
      <c r="M141" s="6">
        <v>9.8150259157874284</v>
      </c>
      <c r="N141" s="4">
        <v>104.43748178949998</v>
      </c>
      <c r="O141" s="5">
        <v>69.59795179999999</v>
      </c>
      <c r="P141" s="5">
        <v>14.563548419354845</v>
      </c>
      <c r="Q141" s="5">
        <v>16.825683677419352</v>
      </c>
    </row>
    <row r="142" spans="1:17">
      <c r="A142" s="2">
        <v>44440</v>
      </c>
      <c r="B142" s="3">
        <v>6.872492203333333E-2</v>
      </c>
      <c r="C142" s="3">
        <v>6.872492203333333E-2</v>
      </c>
      <c r="D142" s="3">
        <v>6.872492203333333E-2</v>
      </c>
      <c r="E142" s="3">
        <v>1.9152464533333337E-2</v>
      </c>
      <c r="F142" s="4">
        <v>137.81290760000002</v>
      </c>
      <c r="G142" s="6">
        <v>5.3520284099999991</v>
      </c>
      <c r="H142" s="5">
        <v>52.721616043425406</v>
      </c>
      <c r="I142" s="6">
        <v>1.9477906789922639</v>
      </c>
      <c r="J142" s="4">
        <v>773.64304237097701</v>
      </c>
      <c r="K142" s="5">
        <v>30.044787979543468</v>
      </c>
      <c r="L142" s="4">
        <v>180.93427288358026</v>
      </c>
      <c r="M142" s="5">
        <v>16.964291906566405</v>
      </c>
      <c r="N142" s="5">
        <v>31.831874074999998</v>
      </c>
      <c r="O142" s="5">
        <v>38.443504959999999</v>
      </c>
      <c r="P142" s="5">
        <v>11.061666676666668</v>
      </c>
      <c r="Q142" s="5">
        <v>12.206081133333335</v>
      </c>
    </row>
    <row r="143" spans="1:17">
      <c r="A143" s="2">
        <v>44470</v>
      </c>
      <c r="B143" s="3">
        <v>8.9298372096774201E-2</v>
      </c>
      <c r="C143" s="3">
        <v>8.9298372096774201E-2</v>
      </c>
      <c r="D143" s="3">
        <v>8.9298372096774201E-2</v>
      </c>
      <c r="E143" s="3">
        <v>3.3343217387096773E-2</v>
      </c>
      <c r="F143" s="4">
        <v>189.57141549999997</v>
      </c>
      <c r="G143" s="6">
        <v>7.0991315700000008</v>
      </c>
      <c r="H143" s="4">
        <v>116.9105346867058</v>
      </c>
      <c r="I143" s="6">
        <v>3.4188817523234545</v>
      </c>
      <c r="J143" s="4">
        <v>792.5996048650984</v>
      </c>
      <c r="K143" s="5">
        <v>29.68152610755908</v>
      </c>
      <c r="L143" s="4">
        <v>176.73256432342271</v>
      </c>
      <c r="M143" s="5">
        <v>18.804786079183678</v>
      </c>
      <c r="N143" s="5">
        <v>52.875472538000004</v>
      </c>
      <c r="O143" s="5">
        <v>34.279289201999994</v>
      </c>
      <c r="P143" s="5">
        <v>8.2051612967741914</v>
      </c>
      <c r="Q143" s="5">
        <v>8.3467273548387073</v>
      </c>
    </row>
    <row r="144" spans="1:17">
      <c r="A144" s="2">
        <v>44501</v>
      </c>
      <c r="B144" s="3">
        <v>0.13894440356666668</v>
      </c>
      <c r="C144" s="3">
        <v>0.13894440356666668</v>
      </c>
      <c r="D144" s="3">
        <v>0.13894440356666668</v>
      </c>
      <c r="E144" s="3">
        <v>5.2886789033333326E-2</v>
      </c>
      <c r="F144" s="4">
        <v>363.44424309999994</v>
      </c>
      <c r="G144" s="5">
        <v>10.89677642</v>
      </c>
      <c r="H144" s="4">
        <v>188.99753000513638</v>
      </c>
      <c r="I144" s="6">
        <v>4.4143658151836496</v>
      </c>
      <c r="J144" s="4">
        <v>1009.1639328257036</v>
      </c>
      <c r="K144" s="5">
        <v>30.256728389712652</v>
      </c>
      <c r="L144" s="4">
        <v>166.58181646624618</v>
      </c>
      <c r="M144" s="5">
        <v>15.38521760267915</v>
      </c>
      <c r="N144" s="5">
        <v>24.980826661000002</v>
      </c>
      <c r="O144" s="5">
        <v>12.871450012199999</v>
      </c>
      <c r="P144" s="5">
        <v>2.1503333223333336</v>
      </c>
      <c r="Q144" s="5">
        <v>2.9274188106666665</v>
      </c>
    </row>
    <row r="145" spans="1:17">
      <c r="A145" s="2">
        <v>44531</v>
      </c>
      <c r="B145" s="3">
        <v>0.13141124545161292</v>
      </c>
      <c r="C145" s="3">
        <v>0.13141124545161292</v>
      </c>
      <c r="D145" s="3">
        <v>0.13141124545161292</v>
      </c>
      <c r="E145" s="3">
        <v>4.55133910967742E-2</v>
      </c>
      <c r="F145" s="4">
        <v>375.69732739999995</v>
      </c>
      <c r="G145" s="6">
        <v>9.3593564499999999</v>
      </c>
      <c r="H145" s="4">
        <v>153.28536545908551</v>
      </c>
      <c r="I145" s="6">
        <v>3.8904989693824303</v>
      </c>
      <c r="J145" s="4">
        <v>1067.407170930828</v>
      </c>
      <c r="K145" s="5">
        <v>26.591203553721492</v>
      </c>
      <c r="L145" s="4">
        <v>281.15829362222019</v>
      </c>
      <c r="M145" s="5">
        <v>12.56894597358164</v>
      </c>
      <c r="N145" s="5">
        <v>32.926327448999999</v>
      </c>
      <c r="O145" s="6">
        <v>9.1882938955000011</v>
      </c>
      <c r="P145" s="5">
        <v>-3.4651612545161292</v>
      </c>
      <c r="Q145" s="5">
        <v>5.3392509304516127E-3</v>
      </c>
    </row>
    <row r="146" spans="1:17">
      <c r="A146" s="2">
        <v>44562</v>
      </c>
      <c r="B146" s="3">
        <v>0.5229609638709678</v>
      </c>
      <c r="C146" s="3">
        <v>0.5229609638709678</v>
      </c>
      <c r="D146" s="3">
        <v>0.5229609638709678</v>
      </c>
      <c r="E146" s="3">
        <v>0.2224675329032258</v>
      </c>
      <c r="F146" s="4">
        <v>2499.0230159999992</v>
      </c>
      <c r="G146" s="4">
        <v>113.96968281000001</v>
      </c>
      <c r="H146" s="4">
        <v>1257.6166874451374</v>
      </c>
      <c r="I146" s="5">
        <v>59.489907883847067</v>
      </c>
      <c r="J146" s="4">
        <v>1784.1260180223603</v>
      </c>
      <c r="K146" s="5">
        <v>81.366306705990382</v>
      </c>
      <c r="L146" s="4">
        <v>935.33167006081317</v>
      </c>
      <c r="M146" s="5">
        <v>20.457307372841747</v>
      </c>
      <c r="N146" s="5">
        <v>62.372506620000003</v>
      </c>
      <c r="O146" s="5">
        <v>16.361087430439998</v>
      </c>
      <c r="P146" s="5">
        <v>-0.81483872096774168</v>
      </c>
      <c r="Q146" s="5">
        <v>2.6570935612580639E-2</v>
      </c>
    </row>
    <row r="147" spans="1:17">
      <c r="A147" s="2">
        <v>44593</v>
      </c>
      <c r="B147" s="3">
        <v>0.97957228464285717</v>
      </c>
      <c r="C147" s="3">
        <v>0.97957228464285717</v>
      </c>
      <c r="D147" s="3">
        <v>0.97957228464285717</v>
      </c>
      <c r="E147" s="3">
        <v>0.3692286846428573</v>
      </c>
      <c r="F147" s="4">
        <v>4476.953919999999</v>
      </c>
      <c r="G147" s="4">
        <v>253.85469590000005</v>
      </c>
      <c r="H147" s="4">
        <v>1871.5843191414128</v>
      </c>
      <c r="I147" s="5">
        <v>96.847167059615771</v>
      </c>
      <c r="J147" s="4">
        <v>1889.1843808572846</v>
      </c>
      <c r="K147" s="4">
        <v>107.12156853205506</v>
      </c>
      <c r="L147" s="4">
        <v>1033.5445984633134</v>
      </c>
      <c r="M147" s="5">
        <v>21.319261831845015</v>
      </c>
      <c r="N147" s="5">
        <v>54.348698109000004</v>
      </c>
      <c r="O147" s="5">
        <v>14.4940167078</v>
      </c>
      <c r="P147" s="5">
        <v>-0.55142856464285694</v>
      </c>
      <c r="Q147" s="5">
        <v>3.5964748981428575E-2</v>
      </c>
    </row>
    <row r="148" spans="1:17">
      <c r="A148" s="2">
        <v>44621</v>
      </c>
      <c r="B148" s="3">
        <v>0.61064544258064535</v>
      </c>
      <c r="C148" s="3">
        <v>0.61064544258064535</v>
      </c>
      <c r="D148" s="3">
        <v>0.61064544258064535</v>
      </c>
      <c r="E148" s="3">
        <v>0.17917489638709677</v>
      </c>
      <c r="F148" s="4">
        <v>2592.0064689999999</v>
      </c>
      <c r="G148" s="4">
        <v>119.37930465999999</v>
      </c>
      <c r="H148" s="4">
        <v>836.51475492072154</v>
      </c>
      <c r="I148" s="5">
        <v>35.548611980703434</v>
      </c>
      <c r="J148" s="4">
        <v>1584.7892190393727</v>
      </c>
      <c r="K148" s="5">
        <v>72.990184416667205</v>
      </c>
      <c r="L148" s="4">
        <v>766.20178869056713</v>
      </c>
      <c r="M148" s="5">
        <v>15.819116952884022</v>
      </c>
      <c r="N148" s="6">
        <v>1.6939633371999998</v>
      </c>
      <c r="O148" s="6">
        <v>7.848980523899999</v>
      </c>
      <c r="P148" s="5">
        <v>2.1377419648387099</v>
      </c>
      <c r="Q148" s="5">
        <v>1.2632761423548389</v>
      </c>
    </row>
    <row r="149" spans="1:17">
      <c r="A149" s="2">
        <v>44652</v>
      </c>
      <c r="B149" s="3">
        <v>0.47942467299999997</v>
      </c>
      <c r="C149" s="3">
        <v>0.47942467299999997</v>
      </c>
      <c r="D149" s="3">
        <v>0.47942467299999997</v>
      </c>
      <c r="E149" s="3">
        <v>0.15659327556666666</v>
      </c>
      <c r="F149" s="4">
        <v>1875.3654040000004</v>
      </c>
      <c r="G149" s="5">
        <v>83.737121500000001</v>
      </c>
      <c r="H149" s="4">
        <v>722.1788649498867</v>
      </c>
      <c r="I149" s="5">
        <v>35.821444494010535</v>
      </c>
      <c r="J149" s="4">
        <v>1509.1433867048086</v>
      </c>
      <c r="K149" s="5">
        <v>67.384906828862327</v>
      </c>
      <c r="L149" s="4">
        <v>722.36605919617557</v>
      </c>
      <c r="M149" s="5">
        <v>15.470206481390058</v>
      </c>
      <c r="N149" s="5">
        <v>37.90788794720001</v>
      </c>
      <c r="O149" s="5">
        <v>25.201619791669998</v>
      </c>
      <c r="P149" s="5">
        <v>4.1603333643333329</v>
      </c>
      <c r="Q149" s="5">
        <v>4.7991091370000003</v>
      </c>
    </row>
    <row r="150" spans="1:17">
      <c r="A150" s="2">
        <v>44682</v>
      </c>
      <c r="B150" s="3">
        <v>0.15729502322580646</v>
      </c>
      <c r="C150" s="3">
        <v>0.15729502322580646</v>
      </c>
      <c r="D150" s="3">
        <v>0.15729502322580646</v>
      </c>
      <c r="E150" s="3">
        <v>2.981421370967742E-2</v>
      </c>
      <c r="F150" s="4">
        <v>462.82931230000003</v>
      </c>
      <c r="G150" s="5">
        <v>14.067130720000002</v>
      </c>
      <c r="H150" s="5">
        <v>95.275219715296799</v>
      </c>
      <c r="I150" s="6">
        <v>2.9462962657484195</v>
      </c>
      <c r="J150" s="4">
        <v>1098.576802392766</v>
      </c>
      <c r="K150" s="5">
        <v>33.389897295846339</v>
      </c>
      <c r="L150" s="4">
        <v>349.1767780574055</v>
      </c>
      <c r="M150" s="6">
        <v>9.5645168032689174</v>
      </c>
      <c r="N150" s="5">
        <v>47.128075600000003</v>
      </c>
      <c r="O150" s="5">
        <v>53.511027109999993</v>
      </c>
      <c r="P150" s="5">
        <v>10.537419351612906</v>
      </c>
      <c r="Q150" s="5">
        <v>12.414615941935486</v>
      </c>
    </row>
    <row r="151" spans="1:17">
      <c r="A151" s="2">
        <v>44713</v>
      </c>
      <c r="B151" s="3">
        <v>0.12189803956666667</v>
      </c>
      <c r="C151" s="3">
        <v>0.12189803956666667</v>
      </c>
      <c r="D151" s="3">
        <v>0.12189803956666667</v>
      </c>
      <c r="E151" s="3">
        <v>3.3373887799999988E-2</v>
      </c>
      <c r="F151" s="4">
        <v>277.85487150000006</v>
      </c>
      <c r="G151" s="6">
        <v>8.6768847600000001</v>
      </c>
      <c r="H151" s="5">
        <v>94.901485137505901</v>
      </c>
      <c r="I151" s="6">
        <v>3.3601768526211653</v>
      </c>
      <c r="J151" s="4">
        <v>879.3996221125833</v>
      </c>
      <c r="K151" s="5">
        <v>27.461994891854932</v>
      </c>
      <c r="L151" s="4">
        <v>158.41670718884413</v>
      </c>
      <c r="M151" s="6">
        <v>7.9749409446814568</v>
      </c>
      <c r="N151" s="5">
        <v>53.383112338999993</v>
      </c>
      <c r="O151" s="5">
        <v>76.38180730000002</v>
      </c>
      <c r="P151" s="5">
        <v>16.970333366666669</v>
      </c>
      <c r="Q151" s="5">
        <v>18.908819399999995</v>
      </c>
    </row>
    <row r="152" spans="1:17">
      <c r="A152" s="2">
        <v>44743</v>
      </c>
      <c r="B152" s="3">
        <v>5.0594342806451635E-2</v>
      </c>
      <c r="C152" s="3">
        <v>5.0594342806451635E-2</v>
      </c>
      <c r="D152" s="3">
        <v>5.0594342806451635E-2</v>
      </c>
      <c r="E152" s="3">
        <v>1.034688568064516E-2</v>
      </c>
      <c r="F152" s="4">
        <v>102.89737659999997</v>
      </c>
      <c r="G152" s="6">
        <v>3.1356565930000002</v>
      </c>
      <c r="H152" s="5">
        <v>24.403429991692583</v>
      </c>
      <c r="I152" s="6">
        <v>1.1697117170147864</v>
      </c>
      <c r="J152" s="4">
        <v>759.3235867351309</v>
      </c>
      <c r="K152" s="5">
        <v>23.139345787482615</v>
      </c>
      <c r="L152" s="6">
        <v>3.7802184207152032</v>
      </c>
      <c r="M152" s="6">
        <v>3.2650708630925944</v>
      </c>
      <c r="N152" s="5">
        <v>41.568873479999993</v>
      </c>
      <c r="O152" s="5">
        <v>61.146997199999994</v>
      </c>
      <c r="P152" s="5">
        <v>16.996774322580645</v>
      </c>
      <c r="Q152" s="5">
        <v>19.908774322580644</v>
      </c>
    </row>
    <row r="153" spans="1:17">
      <c r="A153" s="2">
        <v>44774</v>
      </c>
      <c r="B153" s="3">
        <v>6.1835070451612906E-2</v>
      </c>
      <c r="C153" s="3">
        <v>6.1835070451612906E-2</v>
      </c>
      <c r="D153" s="3">
        <v>6.1835070451612906E-2</v>
      </c>
      <c r="E153" s="3">
        <v>2.2065831354838712E-2</v>
      </c>
      <c r="F153" s="4">
        <v>117.2992208</v>
      </c>
      <c r="G153" s="6">
        <v>4.7497606439999993</v>
      </c>
      <c r="H153" s="5">
        <v>50.298900738704198</v>
      </c>
      <c r="I153" s="6">
        <v>3.530808940301132</v>
      </c>
      <c r="J153" s="4">
        <v>708.24711657738692</v>
      </c>
      <c r="K153" s="5">
        <v>28.678828395051653</v>
      </c>
      <c r="L153" s="5">
        <v>43.755854005467732</v>
      </c>
      <c r="M153" s="5">
        <v>10.918649008224405</v>
      </c>
      <c r="N153" s="5">
        <v>98.835482320000011</v>
      </c>
      <c r="O153" s="5">
        <v>71.802311000000017</v>
      </c>
      <c r="P153" s="5">
        <v>17.763871032258066</v>
      </c>
      <c r="Q153" s="5">
        <v>20.010342064516127</v>
      </c>
    </row>
    <row r="154" spans="1:17">
      <c r="A154" s="2">
        <v>44805</v>
      </c>
      <c r="B154" s="3">
        <v>0.11626321463333332</v>
      </c>
      <c r="C154" s="3">
        <v>0.11626321463333332</v>
      </c>
      <c r="D154" s="3">
        <v>0.11626321463333332</v>
      </c>
      <c r="E154" s="3">
        <v>5.32098004E-2</v>
      </c>
      <c r="F154" s="4">
        <v>255.24054889999999</v>
      </c>
      <c r="G154" s="5">
        <v>12.613362050000001</v>
      </c>
      <c r="H154" s="4">
        <v>204.02165042234446</v>
      </c>
      <c r="I154" s="6">
        <v>6.357742548529953</v>
      </c>
      <c r="J154" s="4">
        <v>846.97838520619814</v>
      </c>
      <c r="K154" s="5">
        <v>41.855595526092564</v>
      </c>
      <c r="L154" s="4">
        <v>192.37903488726189</v>
      </c>
      <c r="M154" s="5">
        <v>20.02528743336633</v>
      </c>
      <c r="N154" s="5">
        <v>62.80610305399999</v>
      </c>
      <c r="O154" s="5">
        <v>45.310893399999991</v>
      </c>
      <c r="P154" s="5">
        <v>10.379666653333334</v>
      </c>
      <c r="Q154" s="5">
        <v>11.682697566666665</v>
      </c>
    </row>
    <row r="155" spans="1:17">
      <c r="A155" s="2">
        <v>44835</v>
      </c>
      <c r="B155" s="3">
        <v>0.11591348512903227</v>
      </c>
      <c r="C155" s="3">
        <v>0.11591348512903227</v>
      </c>
      <c r="D155" s="3">
        <v>0.11591348512903227</v>
      </c>
      <c r="E155" s="3">
        <v>4.3562091258064518E-2</v>
      </c>
      <c r="F155" s="4">
        <v>335.01992200000007</v>
      </c>
      <c r="G155" s="5">
        <v>11.482150350000001</v>
      </c>
      <c r="H155" s="4">
        <v>166.63256450819546</v>
      </c>
      <c r="I155" s="6">
        <v>4.689532107097639</v>
      </c>
      <c r="J155" s="4">
        <v>1079.0987951069635</v>
      </c>
      <c r="K155" s="5">
        <v>36.983993350930056</v>
      </c>
      <c r="L155" s="4">
        <v>187.28321826188287</v>
      </c>
      <c r="M155" s="5">
        <v>15.777854668934186</v>
      </c>
      <c r="N155" s="5">
        <v>41.86296792000001</v>
      </c>
      <c r="O155" s="5">
        <v>33.725408129999998</v>
      </c>
      <c r="P155" s="5">
        <v>8.6254838774193558</v>
      </c>
      <c r="Q155" s="5">
        <v>8.5663920032258059</v>
      </c>
    </row>
    <row r="156" spans="1:17">
      <c r="A156" s="2">
        <v>44866</v>
      </c>
      <c r="B156" s="3">
        <v>0.11436279466666668</v>
      </c>
      <c r="C156" s="3">
        <v>0.11436279466666668</v>
      </c>
      <c r="D156" s="3">
        <v>0.11436279466666668</v>
      </c>
      <c r="E156" s="3">
        <v>4.0866281166666664E-2</v>
      </c>
      <c r="F156" s="4">
        <v>300.50491170000004</v>
      </c>
      <c r="G156" s="6">
        <v>9.543145560000001</v>
      </c>
      <c r="H156" s="4">
        <v>138.76241664612317</v>
      </c>
      <c r="I156" s="6">
        <v>4.1574842160448391</v>
      </c>
      <c r="J156" s="4">
        <v>1013.7521766049481</v>
      </c>
      <c r="K156" s="5">
        <v>32.193765288020025</v>
      </c>
      <c r="L156" s="4">
        <v>159.06322800817892</v>
      </c>
      <c r="M156" s="5">
        <v>13.728944113671627</v>
      </c>
      <c r="N156" s="5">
        <v>49.946422792599996</v>
      </c>
      <c r="O156" s="5">
        <v>21.914574631000004</v>
      </c>
      <c r="P156" s="5">
        <v>4.1833333619999999</v>
      </c>
      <c r="Q156" s="5">
        <v>4.0849704147633323</v>
      </c>
    </row>
    <row r="157" spans="1:17">
      <c r="A157" s="2">
        <v>44896</v>
      </c>
      <c r="B157" s="3">
        <v>0.31975363129032253</v>
      </c>
      <c r="C157" s="3">
        <v>0.31975363129032253</v>
      </c>
      <c r="D157" s="3">
        <v>0.31975363129032253</v>
      </c>
      <c r="E157" s="3">
        <v>0.13961907170967741</v>
      </c>
      <c r="F157" s="4">
        <v>1381.0279479999999</v>
      </c>
      <c r="G157" s="4">
        <v>125.01507642000001</v>
      </c>
      <c r="H157" s="4">
        <v>823.80962460066394</v>
      </c>
      <c r="I157" s="5">
        <v>58.709289061092768</v>
      </c>
      <c r="J157" s="4">
        <v>1612.5438148808676</v>
      </c>
      <c r="K157" s="4">
        <v>145.9726331818265</v>
      </c>
      <c r="L157" s="4">
        <v>735.57341883251775</v>
      </c>
      <c r="M157" s="5">
        <v>19.41288623134615</v>
      </c>
      <c r="N157" s="5">
        <v>43.649426699999999</v>
      </c>
      <c r="O157" s="5">
        <v>11.698065082360001</v>
      </c>
      <c r="P157" s="5">
        <v>-3.549032232903226</v>
      </c>
      <c r="Q157" s="5">
        <v>5.9668767503935488E-2</v>
      </c>
    </row>
    <row r="158" spans="1:17">
      <c r="A158" s="2">
        <v>44927</v>
      </c>
      <c r="B158" s="6">
        <v>1.3043536154838713</v>
      </c>
      <c r="C158" s="6">
        <v>1.3043536154838713</v>
      </c>
      <c r="D158" s="6">
        <v>1.3043536154838713</v>
      </c>
      <c r="E158" s="3">
        <v>0.50734141935483867</v>
      </c>
      <c r="F158" s="4">
        <v>6952.0335400000013</v>
      </c>
      <c r="G158" s="4">
        <v>348.44350269999995</v>
      </c>
      <c r="H158" s="4">
        <v>2916.9978841761122</v>
      </c>
      <c r="I158" s="4">
        <v>129.22746361016746</v>
      </c>
      <c r="J158" s="4">
        <v>1989.9448848077825</v>
      </c>
      <c r="K158" s="5">
        <v>99.738208865774013</v>
      </c>
      <c r="L158" s="4">
        <v>1018.6558694382691</v>
      </c>
      <c r="M158" s="5">
        <v>20.465246169955403</v>
      </c>
      <c r="N158" s="5">
        <v>71.322111444000015</v>
      </c>
      <c r="O158" s="5">
        <v>19.372933842000005</v>
      </c>
      <c r="P158" s="5">
        <v>-0.23838708290322577</v>
      </c>
      <c r="Q158" s="5">
        <v>0.31729717020322579</v>
      </c>
    </row>
    <row r="159" spans="1:17">
      <c r="A159" s="2">
        <v>44958</v>
      </c>
      <c r="B159" s="3">
        <v>0.58641993428571426</v>
      </c>
      <c r="C159" s="3">
        <v>0.58641993428571426</v>
      </c>
      <c r="D159" s="3">
        <v>0.58641993428571426</v>
      </c>
      <c r="E159" s="3">
        <v>0.17031845250000002</v>
      </c>
      <c r="F159" s="4">
        <v>2245.3036350000002</v>
      </c>
      <c r="G159" s="5">
        <v>80.936220399999982</v>
      </c>
      <c r="H159" s="4">
        <v>779.41047420353505</v>
      </c>
      <c r="I159" s="5">
        <v>31.237986529408428</v>
      </c>
      <c r="J159" s="4">
        <v>1582.6852440525251</v>
      </c>
      <c r="K159" s="5">
        <v>57.050885817884676</v>
      </c>
      <c r="L159" s="4">
        <v>706.14105326197375</v>
      </c>
      <c r="M159" s="5">
        <v>13.805697759596489</v>
      </c>
      <c r="N159" s="5">
        <v>32.650637635000002</v>
      </c>
      <c r="O159" s="6">
        <v>9.2913002109999958</v>
      </c>
      <c r="P159" s="5">
        <v>-0.83892857892857153</v>
      </c>
      <c r="Q159" s="5">
        <v>3.5611909867142862E-2</v>
      </c>
    </row>
    <row r="160" spans="1:17">
      <c r="A160" s="2">
        <v>44986</v>
      </c>
      <c r="B160" s="6">
        <v>1.0359465599999997</v>
      </c>
      <c r="C160" s="6">
        <v>1.0359465599999997</v>
      </c>
      <c r="D160" s="6">
        <v>1.0359465599999997</v>
      </c>
      <c r="E160" s="3">
        <v>0.38933731967741936</v>
      </c>
      <c r="F160" s="4">
        <v>4989.7943350000005</v>
      </c>
      <c r="G160" s="4">
        <v>248.10183319999999</v>
      </c>
      <c r="H160" s="4">
        <v>2041.9627836053044</v>
      </c>
      <c r="I160" s="4">
        <v>104.46139804655574</v>
      </c>
      <c r="J160" s="4">
        <v>1798.331804337658</v>
      </c>
      <c r="K160" s="5">
        <v>89.416395096407769</v>
      </c>
      <c r="L160" s="4">
        <v>967.98411231827708</v>
      </c>
      <c r="M160" s="5">
        <v>19.455249829227029</v>
      </c>
      <c r="N160" s="5">
        <v>88.98369889300001</v>
      </c>
      <c r="O160" s="5">
        <v>24.925464115599997</v>
      </c>
      <c r="P160" s="5">
        <v>-1.0564516254838709</v>
      </c>
      <c r="Q160" s="5">
        <v>0.17903514286129033</v>
      </c>
    </row>
    <row r="161" spans="1:17">
      <c r="A161" s="2">
        <v>45017</v>
      </c>
      <c r="B161" s="3">
        <v>0.89490999933333326</v>
      </c>
      <c r="C161" s="3">
        <v>0.89490999933333326</v>
      </c>
      <c r="D161" s="3">
        <v>0.89490999933333326</v>
      </c>
      <c r="E161" s="3">
        <v>0.27863124766666675</v>
      </c>
      <c r="F161" s="4">
        <v>3679.3570139999988</v>
      </c>
      <c r="G161" s="4">
        <v>160.76089180000002</v>
      </c>
      <c r="H161" s="4">
        <v>1252.365204743523</v>
      </c>
      <c r="I161" s="5">
        <v>57.955472900191609</v>
      </c>
      <c r="J161" s="4">
        <v>1586.1985420806529</v>
      </c>
      <c r="K161" s="5">
        <v>69.305233064979731</v>
      </c>
      <c r="L161" s="4">
        <v>803.28954904353259</v>
      </c>
      <c r="M161" s="5">
        <v>16.007979210946349</v>
      </c>
      <c r="N161" s="5">
        <v>18.454716946000001</v>
      </c>
      <c r="O161" s="5">
        <v>21.661010770000004</v>
      </c>
      <c r="P161" s="5">
        <v>4.2940000366666675</v>
      </c>
      <c r="Q161" s="5">
        <v>4.5244441596666674</v>
      </c>
    </row>
    <row r="162" spans="1:17">
      <c r="A162" s="2">
        <v>45047</v>
      </c>
      <c r="B162" s="3">
        <v>0.32293917645161291</v>
      </c>
      <c r="C162" s="3">
        <v>0.32293917645161291</v>
      </c>
      <c r="D162" s="3">
        <v>0.32293917645161291</v>
      </c>
      <c r="E162" s="3">
        <v>7.7814313387096781E-2</v>
      </c>
      <c r="F162" s="4">
        <v>1034.6256140000003</v>
      </c>
      <c r="G162" s="5">
        <v>33.909753540000004</v>
      </c>
      <c r="H162" s="4">
        <v>290.65688896026649</v>
      </c>
      <c r="I162" s="5">
        <v>11.46656050594401</v>
      </c>
      <c r="J162" s="4">
        <v>1196.1538401667649</v>
      </c>
      <c r="K162" s="5">
        <v>39.203824494988076</v>
      </c>
      <c r="L162" s="4">
        <v>398.95456949581677</v>
      </c>
      <c r="M162" s="6">
        <v>9.203678975320166</v>
      </c>
      <c r="N162" s="5">
        <v>29.496632019999996</v>
      </c>
      <c r="O162" s="5">
        <v>53.311219390000005</v>
      </c>
      <c r="P162" s="5">
        <v>11.23387095806452</v>
      </c>
      <c r="Q162" s="5">
        <v>12.621616177419357</v>
      </c>
    </row>
    <row r="163" spans="1:17">
      <c r="A163" s="2">
        <v>45078</v>
      </c>
      <c r="B163" s="3">
        <v>9.4264785099999998E-2</v>
      </c>
      <c r="C163" s="3">
        <v>9.4264785099999998E-2</v>
      </c>
      <c r="D163" s="3">
        <v>9.4264785099999998E-2</v>
      </c>
      <c r="E163" s="3">
        <v>1.5084196003333335E-2</v>
      </c>
      <c r="F163" s="4">
        <v>223.45903940000002</v>
      </c>
      <c r="G163" s="6">
        <v>5.4747519330000003</v>
      </c>
      <c r="H163" s="5">
        <v>40.774651012381497</v>
      </c>
      <c r="I163" s="6">
        <v>1.536623221554031</v>
      </c>
      <c r="J163" s="4">
        <v>914.56258806955373</v>
      </c>
      <c r="K163" s="5">
        <v>22.406806022878101</v>
      </c>
      <c r="L163" s="4">
        <v>115.64379751812847</v>
      </c>
      <c r="M163" s="6">
        <v>3.1267094606342032</v>
      </c>
      <c r="N163" s="5">
        <v>12.656002054</v>
      </c>
      <c r="O163" s="5">
        <v>45.651696299999998</v>
      </c>
      <c r="P163" s="5">
        <v>16.734333259999996</v>
      </c>
      <c r="Q163" s="5">
        <v>19.061322733333334</v>
      </c>
    </row>
    <row r="164" spans="1:17">
      <c r="A164" s="2">
        <v>45108</v>
      </c>
      <c r="B164" s="3">
        <v>9.3223589451612868E-2</v>
      </c>
      <c r="C164" s="3">
        <v>9.3223589451612868E-2</v>
      </c>
      <c r="D164" s="3">
        <v>9.3223589451612868E-2</v>
      </c>
      <c r="E164" s="3">
        <v>2.4841586758064509E-2</v>
      </c>
      <c r="F164" s="4">
        <v>205.63117130000001</v>
      </c>
      <c r="G164" s="6">
        <v>6.9014339300000005</v>
      </c>
      <c r="H164" s="5">
        <v>62.38996945871574</v>
      </c>
      <c r="I164" s="6">
        <v>3.4992293735655342</v>
      </c>
      <c r="J164" s="4">
        <v>823.54563954793502</v>
      </c>
      <c r="K164" s="5">
        <v>27.64000125503344</v>
      </c>
      <c r="L164" s="5">
        <v>88.362531957512232</v>
      </c>
      <c r="M164" s="6">
        <v>6.6138880605627275</v>
      </c>
      <c r="N164" s="4">
        <v>118.8363739402</v>
      </c>
      <c r="O164" s="5">
        <v>87.729405500000027</v>
      </c>
      <c r="P164" s="5">
        <v>16.221612838709675</v>
      </c>
      <c r="Q164" s="5">
        <v>19.138971419354835</v>
      </c>
    </row>
    <row r="165" spans="1:17">
      <c r="A165" s="2">
        <v>45139</v>
      </c>
      <c r="B165" s="3">
        <v>0.3986472425806451</v>
      </c>
      <c r="C165" s="3">
        <v>0.3986472425806451</v>
      </c>
      <c r="D165" s="3">
        <v>0.3986472425806451</v>
      </c>
      <c r="E165" s="3">
        <v>0.16906594958064519</v>
      </c>
      <c r="F165" s="4">
        <v>1088.6049849999999</v>
      </c>
      <c r="G165" s="5">
        <v>49.942858669999985</v>
      </c>
      <c r="H165" s="4">
        <v>590.37505330710508</v>
      </c>
      <c r="I165" s="5">
        <v>24.285103589337762</v>
      </c>
      <c r="J165" s="4">
        <v>1019.5443115755323</v>
      </c>
      <c r="K165" s="5">
        <v>46.774502516729356</v>
      </c>
      <c r="L165" s="4">
        <v>225.42149699705348</v>
      </c>
      <c r="M165" s="5">
        <v>10.374391442587326</v>
      </c>
      <c r="N165" s="4">
        <v>134.30238981399998</v>
      </c>
      <c r="O165" s="5">
        <v>93.793262100000035</v>
      </c>
      <c r="P165" s="5">
        <v>15.67387087096774</v>
      </c>
      <c r="Q165" s="5">
        <v>17.110925387096774</v>
      </c>
    </row>
    <row r="166" spans="1:17">
      <c r="A166" s="2">
        <v>45170</v>
      </c>
      <c r="B166" s="3">
        <v>0.13668395783333334</v>
      </c>
      <c r="C166" s="3">
        <v>0.13668395783333334</v>
      </c>
      <c r="D166" s="3">
        <v>0.13668395783333334</v>
      </c>
      <c r="E166" s="3">
        <v>3.3024749466666663E-2</v>
      </c>
      <c r="F166" s="4">
        <v>338.20980780000002</v>
      </c>
      <c r="G166" s="5">
        <v>10.776959049999999</v>
      </c>
      <c r="H166" s="5">
        <v>96.538042845194681</v>
      </c>
      <c r="I166" s="6">
        <v>3.130579452531626</v>
      </c>
      <c r="J166" s="4">
        <v>954.62681486964982</v>
      </c>
      <c r="K166" s="5">
        <v>30.41891125736554</v>
      </c>
      <c r="L166" s="4">
        <v>178.35345310371127</v>
      </c>
      <c r="M166" s="6">
        <v>8.9393610216302939</v>
      </c>
      <c r="N166" s="5">
        <v>36.092096454500002</v>
      </c>
      <c r="O166" s="5">
        <v>51.499270710000012</v>
      </c>
      <c r="P166" s="5">
        <v>14.208333299999996</v>
      </c>
      <c r="Q166" s="5">
        <v>15.10399793333333</v>
      </c>
    </row>
    <row r="167" spans="1:17">
      <c r="A167" s="2">
        <v>45200</v>
      </c>
      <c r="B167" s="3">
        <v>0.10877576754838707</v>
      </c>
      <c r="C167" s="3">
        <v>0.10877576754838707</v>
      </c>
      <c r="D167" s="3">
        <v>0.10877576754838707</v>
      </c>
      <c r="E167" s="3">
        <v>3.922082612903225E-2</v>
      </c>
      <c r="F167" s="4">
        <v>230.74602679999998</v>
      </c>
      <c r="G167" s="6">
        <v>7.1958349100000003</v>
      </c>
      <c r="H167" s="4">
        <v>120.02065907543803</v>
      </c>
      <c r="I167" s="6">
        <v>4.7477727905462155</v>
      </c>
      <c r="J167" s="4">
        <v>792.00262869141898</v>
      </c>
      <c r="K167" s="5">
        <v>24.698670434116341</v>
      </c>
      <c r="L167" s="4">
        <v>144.47353933321864</v>
      </c>
      <c r="M167" s="5">
        <v>12.238481658303256</v>
      </c>
      <c r="N167" s="5">
        <v>79.925977191699999</v>
      </c>
      <c r="O167" s="5">
        <v>32.459775799999996</v>
      </c>
      <c r="P167" s="5">
        <v>5.2674193377419352</v>
      </c>
      <c r="Q167" s="5">
        <v>6.0995955935483881</v>
      </c>
    </row>
    <row r="168" spans="1:17">
      <c r="A168" s="2">
        <v>45231</v>
      </c>
      <c r="B168" s="6">
        <v>1.021771604</v>
      </c>
      <c r="C168" s="6">
        <v>1.021771604</v>
      </c>
      <c r="D168" s="6">
        <v>1.021771604</v>
      </c>
      <c r="E168" s="3">
        <v>0.40146389666666676</v>
      </c>
      <c r="F168" s="4">
        <v>4560.0128650000006</v>
      </c>
      <c r="G168" s="4">
        <v>294.45554659999993</v>
      </c>
      <c r="H168" s="4">
        <v>2085.3496837369321</v>
      </c>
      <c r="I168" s="4">
        <v>118.55238955118227</v>
      </c>
      <c r="J168" s="4">
        <v>1721.7782622558711</v>
      </c>
      <c r="K168" s="4">
        <v>111.18107853458214</v>
      </c>
      <c r="L168" s="4">
        <v>865.89045180029757</v>
      </c>
      <c r="M168" s="5">
        <v>21.450873268398855</v>
      </c>
      <c r="N168" s="5">
        <v>96.623265495999988</v>
      </c>
      <c r="O168" s="5">
        <v>27.729898368000004</v>
      </c>
      <c r="P168" s="5">
        <v>0.39433337933333379</v>
      </c>
      <c r="Q168" s="5">
        <v>1.7154795350900005</v>
      </c>
    </row>
    <row r="169" spans="1:17">
      <c r="A169" s="2">
        <v>45261</v>
      </c>
      <c r="B169" s="3">
        <v>0.69833624709677411</v>
      </c>
      <c r="C169" s="3">
        <v>0.69833624709677411</v>
      </c>
      <c r="D169" s="3">
        <v>0.69833624709677411</v>
      </c>
      <c r="E169" s="3">
        <v>0.24096963783870964</v>
      </c>
      <c r="F169" s="4">
        <v>3241.2421600000002</v>
      </c>
      <c r="G169" s="4">
        <v>166.0321524</v>
      </c>
      <c r="H169" s="4">
        <v>1317.872038906653</v>
      </c>
      <c r="I169" s="5">
        <v>70.749030997726521</v>
      </c>
      <c r="J169" s="4">
        <v>1732.8917537893683</v>
      </c>
      <c r="K169" s="5">
        <v>88.767124723884422</v>
      </c>
      <c r="L169" s="4">
        <v>900.25847759545513</v>
      </c>
      <c r="M169" s="5">
        <v>19.8590164748014</v>
      </c>
      <c r="N169" s="5">
        <v>73.397235817000009</v>
      </c>
      <c r="O169" s="5">
        <v>18.207067006000003</v>
      </c>
      <c r="P169" s="5">
        <v>-3.6599999748387093</v>
      </c>
      <c r="Q169" s="5">
        <v>5.8280678509354839E-2</v>
      </c>
    </row>
    <row r="170" spans="1:17">
      <c r="A170" s="2">
        <v>45292</v>
      </c>
      <c r="B170" s="3">
        <v>0.63626905032258063</v>
      </c>
      <c r="C170" s="3">
        <v>0.63626905032258063</v>
      </c>
      <c r="D170" s="3">
        <v>0.63626905032258063</v>
      </c>
      <c r="E170" s="3">
        <v>0.22335770829032259</v>
      </c>
      <c r="F170" s="4">
        <v>2900.7823129999997</v>
      </c>
      <c r="G170" s="4">
        <v>141.53700670000001</v>
      </c>
      <c r="H170" s="4">
        <v>1185.3396622138864</v>
      </c>
      <c r="I170" s="5">
        <v>61.49772663022592</v>
      </c>
      <c r="J170" s="4">
        <v>1702.1541378251436</v>
      </c>
      <c r="K170" s="5">
        <v>83.052699603833602</v>
      </c>
      <c r="L170" s="4">
        <v>889.82504371650941</v>
      </c>
      <c r="M170" s="5">
        <v>19.051777575364795</v>
      </c>
      <c r="N170" s="5">
        <v>43.238544785999991</v>
      </c>
      <c r="O170" s="5">
        <v>11.4556287371</v>
      </c>
      <c r="P170" s="5">
        <v>-4.5867741957999995</v>
      </c>
      <c r="Q170" s="5">
        <v>9.6866304085874183E-2</v>
      </c>
    </row>
    <row r="171" spans="1:17">
      <c r="A171" s="2">
        <v>45323</v>
      </c>
      <c r="B171" s="6">
        <v>1.5506904362068965</v>
      </c>
      <c r="C171" s="6">
        <v>1.5506904362068965</v>
      </c>
      <c r="D171" s="6">
        <v>1.5506904362068965</v>
      </c>
      <c r="E171" s="3">
        <v>0.58734214206896529</v>
      </c>
      <c r="F171" s="4">
        <v>7200.5442399999993</v>
      </c>
      <c r="G171" s="4">
        <v>391.20895260000003</v>
      </c>
      <c r="H171" s="4">
        <v>2956.0729644356161</v>
      </c>
      <c r="I171" s="4">
        <v>164.99935304246031</v>
      </c>
      <c r="J171" s="4">
        <v>1853.2262778862826</v>
      </c>
      <c r="K171" s="4">
        <v>100.6866544044191</v>
      </c>
      <c r="L171" s="4">
        <v>1115.3126594080231</v>
      </c>
      <c r="M171" s="5">
        <v>23.222254758588523</v>
      </c>
      <c r="N171" s="5">
        <v>65.246449588399997</v>
      </c>
      <c r="O171" s="5">
        <v>17.391598875199996</v>
      </c>
      <c r="P171" s="5">
        <v>-1.0575862137310343</v>
      </c>
      <c r="Q171" s="5">
        <v>0.2815195759000001</v>
      </c>
    </row>
    <row r="172" spans="1:17">
      <c r="A172" s="2">
        <v>45352</v>
      </c>
      <c r="B172" s="6">
        <v>1.4525579422580643</v>
      </c>
      <c r="C172" s="6">
        <v>1.4525579422580643</v>
      </c>
      <c r="D172" s="6">
        <v>1.4525579422580643</v>
      </c>
      <c r="E172" s="3">
        <v>0.51340253258064517</v>
      </c>
      <c r="F172" s="4">
        <v>5159.7976100000005</v>
      </c>
      <c r="G172" s="4">
        <v>217.90941059999997</v>
      </c>
      <c r="H172" s="4">
        <v>1906.831901963787</v>
      </c>
      <c r="I172" s="5">
        <v>81.976697889477563</v>
      </c>
      <c r="J172" s="4">
        <v>1326.2449816297003</v>
      </c>
      <c r="K172" s="5">
        <v>56.010192984423554</v>
      </c>
      <c r="L172" s="4">
        <v>671.92100935194719</v>
      </c>
      <c r="M172" s="5">
        <v>13.172538511130099</v>
      </c>
      <c r="N172" s="5">
        <v>28.005268054999998</v>
      </c>
      <c r="O172" s="5">
        <v>13.392927159299997</v>
      </c>
      <c r="P172" s="5">
        <v>1.551612914516129</v>
      </c>
      <c r="Q172" s="5">
        <v>1.1369171419580644</v>
      </c>
    </row>
    <row r="173" spans="1:17">
      <c r="A173" s="2">
        <v>45383</v>
      </c>
      <c r="B173" s="3">
        <v>0.85117375366666648</v>
      </c>
      <c r="C173" s="3">
        <v>0.85117375366666648</v>
      </c>
      <c r="D173" s="3">
        <v>0.85117375366666648</v>
      </c>
      <c r="E173" s="3">
        <v>0.24398487899999999</v>
      </c>
      <c r="F173" s="4">
        <v>2684.0608000000002</v>
      </c>
      <c r="G173" s="4">
        <v>110.8506063</v>
      </c>
      <c r="H173" s="4">
        <v>914.55927943086238</v>
      </c>
      <c r="I173" s="5">
        <v>44.231803174149206</v>
      </c>
      <c r="J173" s="4">
        <v>1216.5755947208836</v>
      </c>
      <c r="K173" s="5">
        <v>50.244071968937618</v>
      </c>
      <c r="L173" s="4">
        <v>577.68827435435992</v>
      </c>
      <c r="M173" s="5">
        <v>11.922115546921461</v>
      </c>
      <c r="N173" s="5">
        <v>49.579110220400004</v>
      </c>
      <c r="O173" s="5">
        <v>27.919612922499997</v>
      </c>
      <c r="P173" s="5">
        <v>4.0943332833333326</v>
      </c>
      <c r="Q173" s="5">
        <v>4.846197533333334</v>
      </c>
    </row>
    <row r="174" spans="1:17">
      <c r="A174" s="2">
        <v>45413</v>
      </c>
      <c r="B174" s="3">
        <v>0.3171456061290322</v>
      </c>
      <c r="C174" s="3">
        <v>0.3171456061290322</v>
      </c>
      <c r="D174" s="3">
        <v>0.3171456061290322</v>
      </c>
      <c r="E174" s="3">
        <v>6.502663161290323E-2</v>
      </c>
      <c r="F174" s="4">
        <v>971.70541400000002</v>
      </c>
      <c r="G174" s="5">
        <v>40.173639439999995</v>
      </c>
      <c r="H174" s="4">
        <v>239.19468412920185</v>
      </c>
      <c r="I174" s="5">
        <v>10.004131327465826</v>
      </c>
      <c r="J174" s="4">
        <v>1143.9326883945241</v>
      </c>
      <c r="K174" s="5">
        <v>47.29410702807489</v>
      </c>
      <c r="L174" s="4">
        <v>477.78179167800357</v>
      </c>
      <c r="M174" s="5">
        <v>11.210888258212435</v>
      </c>
      <c r="N174" s="5">
        <v>18.661568185999997</v>
      </c>
      <c r="O174" s="5">
        <v>57.783241180000005</v>
      </c>
      <c r="P174" s="5">
        <v>13.555483732258063</v>
      </c>
      <c r="Q174" s="5">
        <v>14.592617835483871</v>
      </c>
    </row>
    <row r="175" spans="1:17">
      <c r="A175" s="2">
        <v>45444</v>
      </c>
      <c r="B175" s="3">
        <v>0.11089183493333334</v>
      </c>
      <c r="C175" s="3">
        <v>0.11089183493333334</v>
      </c>
      <c r="D175" s="3">
        <v>0.11089183493333334</v>
      </c>
      <c r="E175" s="3">
        <v>2.0983481433333333E-2</v>
      </c>
      <c r="F175" s="4">
        <v>224.7587192</v>
      </c>
      <c r="G175" s="6">
        <v>5.9620510000000007</v>
      </c>
      <c r="H175" s="5">
        <v>53.896309268754365</v>
      </c>
      <c r="I175" s="6">
        <v>2.2492690667325945</v>
      </c>
      <c r="J175" s="4">
        <v>781.9553581324684</v>
      </c>
      <c r="K175" s="5">
        <v>20.742499740795225</v>
      </c>
      <c r="L175" s="5">
        <v>63.261836244649295</v>
      </c>
      <c r="M175" s="6">
        <v>1.8881825394739862</v>
      </c>
      <c r="N175" s="5">
        <v>79.567034075000009</v>
      </c>
      <c r="O175" s="5">
        <v>72.865266199999994</v>
      </c>
      <c r="P175" s="5">
        <v>15.949333333333334</v>
      </c>
      <c r="Q175" s="5">
        <v>18.694881666666667</v>
      </c>
    </row>
    <row r="176" spans="1:17">
      <c r="A176" s="2">
        <v>45474</v>
      </c>
      <c r="B176" s="3">
        <v>0.10218540251612904</v>
      </c>
      <c r="C176" s="3">
        <v>0.10218540251612904</v>
      </c>
      <c r="D176" s="3">
        <v>0.10218540251612904</v>
      </c>
      <c r="E176" s="3">
        <v>2.8094847161290317E-2</v>
      </c>
      <c r="F176" s="4">
        <v>198.08962129999998</v>
      </c>
      <c r="G176" s="6">
        <v>6.7528982200000005</v>
      </c>
      <c r="H176" s="5">
        <v>73.342527143180234</v>
      </c>
      <c r="I176" s="6">
        <v>3.182914955231174</v>
      </c>
      <c r="J176" s="4">
        <v>723.76471078247334</v>
      </c>
      <c r="K176" s="5">
        <v>24.673222757754662</v>
      </c>
      <c r="L176" s="5">
        <v>70.913809844396297</v>
      </c>
      <c r="M176" s="6">
        <v>7.1939353269761597</v>
      </c>
      <c r="N176" s="5">
        <v>75.767157573999995</v>
      </c>
      <c r="O176" s="5">
        <v>84.335856899999996</v>
      </c>
      <c r="P176" s="5">
        <v>17.34064535483871</v>
      </c>
      <c r="Q176" s="5">
        <v>19.964210612903226</v>
      </c>
    </row>
    <row r="177" spans="1:17">
      <c r="A177" s="2">
        <v>45505</v>
      </c>
      <c r="B177" s="3">
        <v>4.5435081258064523E-2</v>
      </c>
      <c r="C177" s="3">
        <v>4.5435081258064523E-2</v>
      </c>
      <c r="D177" s="3">
        <v>4.5435081258064523E-2</v>
      </c>
      <c r="E177" s="3">
        <v>1.0746292709677419E-2</v>
      </c>
      <c r="F177" s="5">
        <v>84.743162400000003</v>
      </c>
      <c r="G177" s="6">
        <v>2.8678863919999995</v>
      </c>
      <c r="H177" s="5">
        <v>25.926583319374849</v>
      </c>
      <c r="I177" s="6">
        <v>1.2497720104941956</v>
      </c>
      <c r="J177" s="4">
        <v>696.3665329215471</v>
      </c>
      <c r="K177" s="5">
        <v>23.566504329978173</v>
      </c>
      <c r="L177" s="5">
        <v>52.58514014526142</v>
      </c>
      <c r="M177" s="6">
        <v>8.5909442979459136</v>
      </c>
      <c r="N177" s="5">
        <v>22.861069886000003</v>
      </c>
      <c r="O177" s="5">
        <v>49.632009889999992</v>
      </c>
      <c r="P177" s="5">
        <v>17.130322677419354</v>
      </c>
      <c r="Q177" s="5">
        <v>19.277008290322573</v>
      </c>
    </row>
    <row r="178" spans="1:17">
      <c r="A178" s="2">
        <v>45536</v>
      </c>
      <c r="B178" s="3">
        <v>5.8684000200000017E-2</v>
      </c>
      <c r="C178" s="3">
        <v>5.8684000200000017E-2</v>
      </c>
      <c r="D178" s="3">
        <v>5.8684000200000017E-2</v>
      </c>
      <c r="E178" s="3">
        <v>1.9468548019999997E-2</v>
      </c>
      <c r="F178" s="4">
        <v>101.83006739999998</v>
      </c>
      <c r="G178" s="6">
        <v>4.1766233120000003</v>
      </c>
      <c r="H178" s="5">
        <v>41.784386747176619</v>
      </c>
      <c r="I178" s="6">
        <v>2.5679723693765579</v>
      </c>
      <c r="J178" s="4">
        <v>669.45486057721848</v>
      </c>
      <c r="K178" s="5">
        <v>27.458105653703303</v>
      </c>
      <c r="L178" s="5">
        <v>92.508081937034433</v>
      </c>
      <c r="M178" s="5">
        <v>15.643231218007177</v>
      </c>
      <c r="N178" s="5">
        <v>80.282066012000016</v>
      </c>
      <c r="O178" s="5">
        <v>49.521007129999994</v>
      </c>
      <c r="P178" s="5">
        <v>12.807333220000002</v>
      </c>
      <c r="Q178" s="5">
        <v>14.352755736666667</v>
      </c>
    </row>
    <row r="179" spans="1:17">
      <c r="A179" s="2">
        <v>45566</v>
      </c>
      <c r="B179" s="3">
        <v>0.24584077796774201</v>
      </c>
      <c r="C179" s="3">
        <v>0.24584077796774201</v>
      </c>
      <c r="D179" s="3">
        <v>0.24584077796774201</v>
      </c>
      <c r="E179" s="3">
        <v>0.1067475168387097</v>
      </c>
      <c r="F179" s="4">
        <v>635.97078669999973</v>
      </c>
      <c r="G179" s="5">
        <v>29.728514260000004</v>
      </c>
      <c r="H179" s="4">
        <v>364.18754045994422</v>
      </c>
      <c r="I179" s="5">
        <v>12.382008632074774</v>
      </c>
      <c r="J179" s="4">
        <v>965.84577290775894</v>
      </c>
      <c r="K179" s="5">
        <v>45.148550842274716</v>
      </c>
      <c r="L179" s="4">
        <v>210.29213994003493</v>
      </c>
      <c r="M179" s="5">
        <v>15.49334664148973</v>
      </c>
      <c r="N179" s="5">
        <v>72.327990891200017</v>
      </c>
      <c r="O179" s="5">
        <v>39.084903489999995</v>
      </c>
      <c r="P179" s="5">
        <v>8.1667742612903229</v>
      </c>
      <c r="Q179" s="5">
        <v>8.0060533096774211</v>
      </c>
    </row>
    <row r="180" spans="1:17">
      <c r="A180" s="2">
        <v>45597</v>
      </c>
      <c r="B180" s="3">
        <v>0.17078934213333333</v>
      </c>
      <c r="C180" s="3">
        <v>0.17078934213333333</v>
      </c>
      <c r="D180" s="3">
        <v>0.17078934213333333</v>
      </c>
      <c r="E180" s="3">
        <v>6.4316763700000001E-2</v>
      </c>
      <c r="F180" s="4">
        <v>409.22208299999994</v>
      </c>
      <c r="G180" s="5">
        <v>12.582467210000001</v>
      </c>
      <c r="H180" s="4">
        <v>209.55452640028892</v>
      </c>
      <c r="I180" s="6">
        <v>5.8926859093406101</v>
      </c>
      <c r="J180" s="4">
        <v>924.40711651847516</v>
      </c>
      <c r="K180" s="5">
        <v>28.423007423755493</v>
      </c>
      <c r="L180" s="4">
        <v>194.77042751872935</v>
      </c>
      <c r="M180" s="5">
        <v>10.925455897115185</v>
      </c>
      <c r="N180" s="5">
        <v>40.44718349</v>
      </c>
      <c r="O180" s="5">
        <v>16.722847492500001</v>
      </c>
      <c r="P180" s="5">
        <v>2.3723333147000001</v>
      </c>
      <c r="Q180" s="5">
        <v>2.5793846025956331</v>
      </c>
    </row>
    <row r="181" spans="1:17">
      <c r="A181" s="2">
        <v>45627</v>
      </c>
      <c r="B181" s="3">
        <v>0.52176349774193542</v>
      </c>
      <c r="C181" s="3">
        <v>0.52176349774193542</v>
      </c>
      <c r="D181" s="3">
        <v>0.52176349774193542</v>
      </c>
      <c r="E181" s="3">
        <v>0.20311875451612907</v>
      </c>
      <c r="F181" s="4">
        <v>2190.2405130000002</v>
      </c>
      <c r="G181" s="5">
        <v>91.604278900000011</v>
      </c>
      <c r="H181" s="4">
        <v>1053.901240831374</v>
      </c>
      <c r="I181" s="5">
        <v>47.549439948982119</v>
      </c>
      <c r="J181" s="4">
        <v>1567.2658185090877</v>
      </c>
      <c r="K181" s="5">
        <v>65.549081825926677</v>
      </c>
      <c r="L181" s="4">
        <v>751.57888127387969</v>
      </c>
      <c r="M181" s="5">
        <v>17.120098231728747</v>
      </c>
      <c r="N181" s="5">
        <v>57.002468136000019</v>
      </c>
      <c r="O181" s="5">
        <v>16.996417963299997</v>
      </c>
      <c r="P181" s="5">
        <v>0.36580647709677411</v>
      </c>
      <c r="Q181" s="5">
        <v>0.53656222298583212</v>
      </c>
    </row>
    <row r="182" spans="1:17">
      <c r="A182" s="2">
        <v>45597</v>
      </c>
      <c r="B182" s="3">
        <v>0.17078934213333333</v>
      </c>
      <c r="C182" s="3">
        <v>0.17078934213333333</v>
      </c>
      <c r="D182" s="3">
        <v>0.17078934213333333</v>
      </c>
      <c r="E182" s="3">
        <v>6.4316763700000001E-2</v>
      </c>
      <c r="F182" s="4">
        <v>409.22208299999994</v>
      </c>
      <c r="G182" s="5">
        <v>12.582467210000001</v>
      </c>
      <c r="H182" s="4">
        <v>209.55452640028892</v>
      </c>
      <c r="I182" s="6">
        <v>5.8926859093406101</v>
      </c>
      <c r="J182" s="4">
        <v>924.40711651847516</v>
      </c>
      <c r="K182" s="5">
        <v>28.423007423755493</v>
      </c>
      <c r="L182" s="4">
        <v>194.77042751872935</v>
      </c>
      <c r="M182" s="5">
        <v>10.925455897115185</v>
      </c>
      <c r="N182" s="5">
        <v>40.44718349</v>
      </c>
      <c r="O182" s="5">
        <v>16.722847492500001</v>
      </c>
      <c r="P182" s="5">
        <v>2.3723333147000001</v>
      </c>
      <c r="Q182" s="5">
        <v>2.5793846025956331</v>
      </c>
    </row>
    <row r="183" spans="1:17">
      <c r="A183" s="2">
        <v>45627</v>
      </c>
      <c r="B183" s="3">
        <v>0.52176349774193542</v>
      </c>
      <c r="C183" s="3">
        <v>0.52176349774193542</v>
      </c>
      <c r="D183" s="3">
        <v>0.52176349774193542</v>
      </c>
      <c r="E183" s="3">
        <v>0.20311875451612907</v>
      </c>
      <c r="F183" s="4">
        <v>2190.2405130000002</v>
      </c>
      <c r="G183" s="5">
        <v>91.604278900000011</v>
      </c>
      <c r="H183" s="4">
        <v>1053.901240831374</v>
      </c>
      <c r="I183" s="5">
        <v>47.549439948982119</v>
      </c>
      <c r="J183" s="4">
        <v>1567.2658185090877</v>
      </c>
      <c r="K183" s="5">
        <v>65.549081825926677</v>
      </c>
      <c r="L183" s="4">
        <v>751.57888127387969</v>
      </c>
      <c r="M183" s="5">
        <v>17.120098231728747</v>
      </c>
      <c r="N183" s="5">
        <v>57.002468136000019</v>
      </c>
      <c r="O183" s="5">
        <v>16.996417963299997</v>
      </c>
      <c r="P183" s="5">
        <v>0.36580647709677411</v>
      </c>
      <c r="Q183" s="5">
        <v>0.53656222298583212</v>
      </c>
    </row>
    <row r="186" spans="1:17" ht="42" customHeight="1">
      <c r="A186" s="8" t="s">
        <v>16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</sheetData>
  <mergeCells count="1">
    <mergeCell ref="A186:Q1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Kalle Norlander</dc:creator>
  <cp:lastModifiedBy>Mathias Landström</cp:lastModifiedBy>
  <dcterms:created xsi:type="dcterms:W3CDTF">2026-04-27T13:40:47Z</dcterms:created>
  <dcterms:modified xsi:type="dcterms:W3CDTF">2026-05-13T23:50:16Z</dcterms:modified>
</cp:coreProperties>
</file>