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kth-my.sharepoint.com/personal/mlandst_ug_kth_se/Documents/KEX_MSA_renewables/Python/Excel_Areas/"/>
    </mc:Choice>
  </mc:AlternateContent>
  <xr:revisionPtr revIDLastSave="14" documentId="8_{5A126EEF-BE9E-4CF6-8EBE-21D601C33573}" xr6:coauthVersionLast="47" xr6:coauthVersionMax="47" xr10:uidLastSave="{B38FCB92-DACF-42DF-8156-6690B822E47F}"/>
  <bookViews>
    <workbookView xWindow="1780" yWindow="0" windowWidth="14400" windowHeight="10200" xr2:uid="{6D84123A-A682-4771-B66E-AC7D8405F2F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S2" i="1" l="1"/>
</calcChain>
</file>

<file path=xl/sharedStrings.xml><?xml version="1.0" encoding="utf-8"?>
<sst xmlns="http://schemas.openxmlformats.org/spreadsheetml/2006/main" count="17" uniqueCount="17">
  <si>
    <t>Total vattenföring [m³/s]</t>
  </si>
  <si>
    <t>Total stationskorrigerad vattenföring [m³/s]</t>
  </si>
  <si>
    <t>Total naturlig vattenföring [m³/s]</t>
  </si>
  <si>
    <t>Lokal vattenföring [m³/s]</t>
  </si>
  <si>
    <t>Total kvävetransport [kg]</t>
  </si>
  <si>
    <t>Total fosfortransport [kg]</t>
  </si>
  <si>
    <t>Lokal kvävetransport [kg]</t>
  </si>
  <si>
    <t>Lokal fosfortransport [kg]</t>
  </si>
  <si>
    <t>Total kvävekoncentration [ug/l]</t>
  </si>
  <si>
    <t>Total fosforkoncentration [ug/l]</t>
  </si>
  <si>
    <t>Total koncentration av oorganiskt kväve [ug/l]</t>
  </si>
  <si>
    <t>Total koncentration av löst reaktivt fosfor [ug/l]</t>
  </si>
  <si>
    <t>Lokal nederbörd [mm]</t>
  </si>
  <si>
    <t>Lokal evapotranspiration [mm]</t>
  </si>
  <si>
    <t>Lokal luftemperatur [°C]</t>
  </si>
  <si>
    <t>Temperatur Vattendrag [°C]</t>
  </si>
  <si>
    <t>Total andel oorganiskt kväve [%]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</si>
</sst>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yyyy\-mm"/>
    <numFmt numFmtId="165" formatCode="#0.000"/>
    <numFmt numFmtId="166" formatCode="#0.0"/>
    <numFmt numFmtId="167" formatCode="#0.00"/>
  </numFmts>
  <fonts count="3">
    <font>
      <sz val="11"/>
      <color theme="1"/>
      <name val="Aptos Narrow"/>
      <family val="2"/>
      <scheme val="minor"/>
    </font>
    <font>
      <b/>
      <sz val="10"/>
      <name val="Liberation Sans"/>
    </font>
    <font>
      <sz val="10"/>
      <name val="Liberation San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wrapText="1"/>
    </xf>
    <xf numFmtId="164" fontId="2" fillId="0" borderId="0" xfId="0" applyNumberFormat="1" applyFont="1" applyAlignment="1">
      <alignment vertical="top"/>
    </xf>
    <xf numFmtId="165" fontId="2" fillId="0" borderId="0" xfId="0" applyNumberFormat="1" applyFont="1" applyAlignment="1">
      <alignment vertical="top"/>
    </xf>
    <xf numFmtId="1" fontId="2" fillId="0" borderId="0" xfId="0" applyNumberFormat="1" applyFont="1" applyAlignment="1">
      <alignment vertical="top"/>
    </xf>
    <xf numFmtId="166" fontId="2" fillId="0" borderId="0" xfId="0" applyNumberFormat="1" applyFont="1" applyAlignment="1">
      <alignment vertical="top"/>
    </xf>
    <xf numFmtId="167" fontId="2" fillId="0" borderId="0" xfId="0" applyNumberFormat="1" applyFont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7F11C7-EB6F-4076-80C3-600AD06114DA}">
  <dimension ref="A1:S181"/>
  <sheetViews>
    <sheetView tabSelected="1" topLeftCell="J1" workbookViewId="0">
      <selection activeCell="S1" sqref="S1"/>
    </sheetView>
  </sheetViews>
  <sheetFormatPr defaultRowHeight="14.5"/>
  <cols>
    <col min="10" max="10" width="25.6328125" customWidth="1"/>
    <col min="11" max="11" width="13.90625" customWidth="1"/>
    <col min="12" max="12" width="8.453125" bestFit="1" customWidth="1"/>
  </cols>
  <sheetData>
    <row r="1" spans="1:19" ht="91.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S1" s="1" t="s">
        <v>16</v>
      </c>
    </row>
    <row r="2" spans="1:19">
      <c r="A2" s="2">
        <v>40179</v>
      </c>
      <c r="B2" s="3">
        <v>0.19681607322580644</v>
      </c>
      <c r="C2" s="3">
        <v>0.19681607322580644</v>
      </c>
      <c r="D2" s="3">
        <v>0.19681607322580644</v>
      </c>
      <c r="E2" s="3">
        <v>0.13717345974193548</v>
      </c>
      <c r="F2" s="4">
        <v>1028.563699</v>
      </c>
      <c r="G2" s="5">
        <v>33.578811869999996</v>
      </c>
      <c r="H2" s="4">
        <v>749.54012658446777</v>
      </c>
      <c r="I2" s="5">
        <v>35.119516876280407</v>
      </c>
      <c r="J2" s="4">
        <v>1951.17025193673</v>
      </c>
      <c r="K2" s="5">
        <v>63.698514710777928</v>
      </c>
      <c r="L2" s="4">
        <v>1217.4693468277239</v>
      </c>
      <c r="M2" s="5">
        <v>30.071658776491141</v>
      </c>
      <c r="N2" s="5">
        <v>36.814626052000008</v>
      </c>
      <c r="O2" s="6">
        <v>6.2764438719999998</v>
      </c>
      <c r="P2" s="5">
        <v>-8.4664516612903213</v>
      </c>
      <c r="Q2" s="5">
        <v>1.0824478697419353E-2</v>
      </c>
      <c r="S2">
        <f>100*(AVERAGE(L2:L181)/AVERAGE(J2:J181))</f>
        <v>56.738415273784646</v>
      </c>
    </row>
    <row r="3" spans="1:19">
      <c r="A3" s="2">
        <v>40210</v>
      </c>
      <c r="B3" s="3">
        <v>0.10682075532142857</v>
      </c>
      <c r="C3" s="3">
        <v>0.10682075532142857</v>
      </c>
      <c r="D3" s="3">
        <v>0.10682075532142857</v>
      </c>
      <c r="E3" s="3">
        <v>7.4172368642857145E-2</v>
      </c>
      <c r="F3" s="4">
        <v>419.74950899999999</v>
      </c>
      <c r="G3" s="6">
        <v>8.6257987699999994</v>
      </c>
      <c r="H3" s="4">
        <v>315.437984643032</v>
      </c>
      <c r="I3" s="5">
        <v>11.620173186778258</v>
      </c>
      <c r="J3" s="4">
        <v>1624.2869507249945</v>
      </c>
      <c r="K3" s="5">
        <v>33.378889405627852</v>
      </c>
      <c r="L3" s="4">
        <v>896.69904980727802</v>
      </c>
      <c r="M3" s="5">
        <v>22.11048481742559</v>
      </c>
      <c r="N3" s="5">
        <v>48.014422877999998</v>
      </c>
      <c r="O3" s="6">
        <v>8.252400077499999</v>
      </c>
      <c r="P3" s="5">
        <v>-6.4385714436071408</v>
      </c>
      <c r="Q3" s="5">
        <v>8.4769370467359367E-3</v>
      </c>
    </row>
    <row r="4" spans="1:19">
      <c r="A4" s="2">
        <v>40238</v>
      </c>
      <c r="B4" s="3">
        <v>0.90154151838709695</v>
      </c>
      <c r="C4" s="3">
        <v>0.90154151838709695</v>
      </c>
      <c r="D4" s="3">
        <v>0.90154151838709695</v>
      </c>
      <c r="E4" s="3">
        <v>0.71555959096774191</v>
      </c>
      <c r="F4" s="4">
        <v>5863.3555020000003</v>
      </c>
      <c r="G4" s="4">
        <v>583.61517651999998</v>
      </c>
      <c r="H4" s="4">
        <v>5083.5465545538536</v>
      </c>
      <c r="I4" s="4">
        <v>436.97802405354838</v>
      </c>
      <c r="J4" s="4">
        <v>2428.2032413478451</v>
      </c>
      <c r="K4" s="4">
        <v>241.69372975486689</v>
      </c>
      <c r="L4" s="4">
        <v>1791.5471014296945</v>
      </c>
      <c r="M4" s="5">
        <v>45.359203876914428</v>
      </c>
      <c r="N4" s="5">
        <v>45.875188452000003</v>
      </c>
      <c r="O4" s="5">
        <v>11.669916968099999</v>
      </c>
      <c r="P4" s="5">
        <v>-1.2580645267741932</v>
      </c>
      <c r="Q4" s="5">
        <v>0.15614608538064517</v>
      </c>
    </row>
    <row r="5" spans="1:19">
      <c r="A5" s="2">
        <v>40269</v>
      </c>
      <c r="B5" s="6">
        <v>3.4782998946666668</v>
      </c>
      <c r="C5" s="6">
        <v>3.4782998946666668</v>
      </c>
      <c r="D5" s="6">
        <v>3.4782998946666668</v>
      </c>
      <c r="E5" s="6">
        <v>2.5089348319999996</v>
      </c>
      <c r="F5" s="4">
        <v>17119.498060000002</v>
      </c>
      <c r="G5" s="4">
        <v>1169.5600388999999</v>
      </c>
      <c r="H5" s="4">
        <v>13677.08406457091</v>
      </c>
      <c r="I5" s="4">
        <v>957.82881423918707</v>
      </c>
      <c r="J5" s="4">
        <v>1898.8426731085456</v>
      </c>
      <c r="K5" s="4">
        <v>129.72404372173696</v>
      </c>
      <c r="L5" s="4">
        <v>1370.2318656407563</v>
      </c>
      <c r="M5" s="5">
        <v>34.027148331246067</v>
      </c>
      <c r="N5" s="5">
        <v>36.659809000000003</v>
      </c>
      <c r="O5" s="5">
        <v>32.536530499999998</v>
      </c>
      <c r="P5" s="5">
        <v>5.5866666600000006</v>
      </c>
      <c r="Q5" s="5">
        <v>3.5609204963333334</v>
      </c>
    </row>
    <row r="6" spans="1:19">
      <c r="A6" s="2">
        <v>40299</v>
      </c>
      <c r="B6" s="3">
        <v>0.21939850122580648</v>
      </c>
      <c r="C6" s="3">
        <v>0.21939850122580648</v>
      </c>
      <c r="D6" s="3">
        <v>0.21939850122580648</v>
      </c>
      <c r="E6" s="3">
        <v>0.14626481548387094</v>
      </c>
      <c r="F6" s="4">
        <v>700.2127607000001</v>
      </c>
      <c r="G6" s="5">
        <v>20.742072880000002</v>
      </c>
      <c r="H6" s="4">
        <v>517.64398487141057</v>
      </c>
      <c r="I6" s="5">
        <v>21.58833877049068</v>
      </c>
      <c r="J6" s="4">
        <v>1191.5736947304174</v>
      </c>
      <c r="K6" s="5">
        <v>35.297426594865826</v>
      </c>
      <c r="L6" s="4">
        <v>599.04096512948411</v>
      </c>
      <c r="M6" s="5">
        <v>16.083879778159506</v>
      </c>
      <c r="N6" s="5">
        <v>53.803767486600002</v>
      </c>
      <c r="O6" s="5">
        <v>66.497795740000015</v>
      </c>
      <c r="P6" s="5">
        <v>11.008064454838708</v>
      </c>
      <c r="Q6" s="5">
        <v>11.028714935483874</v>
      </c>
    </row>
    <row r="7" spans="1:19">
      <c r="A7" s="2">
        <v>40330</v>
      </c>
      <c r="B7" s="3">
        <v>7.4354153233333345E-2</v>
      </c>
      <c r="C7" s="3">
        <v>7.4354153233333345E-2</v>
      </c>
      <c r="D7" s="3">
        <v>7.4354153233333345E-2</v>
      </c>
      <c r="E7" s="3">
        <v>5.6438708433333325E-2</v>
      </c>
      <c r="F7" s="4">
        <v>188.55867020000002</v>
      </c>
      <c r="G7" s="6">
        <v>4.5706169369999996</v>
      </c>
      <c r="H7" s="4">
        <v>171.23937396875522</v>
      </c>
      <c r="I7" s="6">
        <v>7.8156135733796788</v>
      </c>
      <c r="J7" s="4">
        <v>978.37706584219734</v>
      </c>
      <c r="K7" s="5">
        <v>23.715624990196442</v>
      </c>
      <c r="L7" s="4">
        <v>336.57924143129424</v>
      </c>
      <c r="M7" s="5">
        <v>15.211398078993515</v>
      </c>
      <c r="N7" s="5">
        <v>46.494226269999999</v>
      </c>
      <c r="O7" s="5">
        <v>75.097608799999989</v>
      </c>
      <c r="P7" s="5">
        <v>14.946333266666667</v>
      </c>
      <c r="Q7" s="5">
        <v>14.907526300000001</v>
      </c>
    </row>
    <row r="8" spans="1:19">
      <c r="A8" s="2">
        <v>40360</v>
      </c>
      <c r="B8" s="3">
        <v>0.10170717429032258</v>
      </c>
      <c r="C8" s="3">
        <v>0.10170717429032258</v>
      </c>
      <c r="D8" s="3">
        <v>0.10170717429032258</v>
      </c>
      <c r="E8" s="3">
        <v>8.1463166935483888E-2</v>
      </c>
      <c r="F8" s="4">
        <v>235.14337845999998</v>
      </c>
      <c r="G8" s="5">
        <v>12.770102484000001</v>
      </c>
      <c r="H8" s="4">
        <v>243.00745044053255</v>
      </c>
      <c r="I8" s="5">
        <v>18.157095219788772</v>
      </c>
      <c r="J8" s="4">
        <v>863.18860168169851</v>
      </c>
      <c r="K8" s="5">
        <v>46.877810300934485</v>
      </c>
      <c r="L8" s="4">
        <v>324.89298642855448</v>
      </c>
      <c r="M8" s="5">
        <v>24.56046387163628</v>
      </c>
      <c r="N8" s="5">
        <v>84.966434710000001</v>
      </c>
      <c r="O8" s="5">
        <v>74.859544390000011</v>
      </c>
      <c r="P8" s="5">
        <v>20.683870967741935</v>
      </c>
      <c r="Q8" s="5">
        <v>20.027884870967746</v>
      </c>
    </row>
    <row r="9" spans="1:19">
      <c r="A9" s="2">
        <v>40391</v>
      </c>
      <c r="B9" s="3">
        <v>0.48696387493548376</v>
      </c>
      <c r="C9" s="3">
        <v>0.48696387493548376</v>
      </c>
      <c r="D9" s="3">
        <v>0.48696387493548376</v>
      </c>
      <c r="E9" s="3">
        <v>0.34137301480645171</v>
      </c>
      <c r="F9" s="4">
        <v>1216.3124552999998</v>
      </c>
      <c r="G9" s="5">
        <v>45.71086918000001</v>
      </c>
      <c r="H9" s="4">
        <v>968.21650969808059</v>
      </c>
      <c r="I9" s="5">
        <v>43.687277608164628</v>
      </c>
      <c r="J9" s="4">
        <v>932.5517811502408</v>
      </c>
      <c r="K9" s="5">
        <v>35.046712012714821</v>
      </c>
      <c r="L9" s="4">
        <v>295.474746449154</v>
      </c>
      <c r="M9" s="5">
        <v>12.101442322801208</v>
      </c>
      <c r="N9" s="4">
        <v>133.41346310099996</v>
      </c>
      <c r="O9" s="5">
        <v>99.418013399999992</v>
      </c>
      <c r="P9" s="5">
        <v>16.63064512903226</v>
      </c>
      <c r="Q9" s="5">
        <v>15.935654387096772</v>
      </c>
    </row>
    <row r="10" spans="1:19">
      <c r="A10" s="2">
        <v>40422</v>
      </c>
      <c r="B10" s="3">
        <v>0.37019411173333333</v>
      </c>
      <c r="C10" s="3">
        <v>0.37019411173333333</v>
      </c>
      <c r="D10" s="3">
        <v>0.37019411173333333</v>
      </c>
      <c r="E10" s="3">
        <v>0.27550857566666664</v>
      </c>
      <c r="F10" s="4">
        <v>1197.7278036</v>
      </c>
      <c r="G10" s="5">
        <v>45.612476455999989</v>
      </c>
      <c r="H10" s="4">
        <v>1055.4502646254396</v>
      </c>
      <c r="I10" s="5">
        <v>53.560459381621172</v>
      </c>
      <c r="J10" s="4">
        <v>1248.2270874384194</v>
      </c>
      <c r="K10" s="5">
        <v>47.535615598871097</v>
      </c>
      <c r="L10" s="4">
        <v>493.08224660860242</v>
      </c>
      <c r="M10" s="5">
        <v>18.017670482003229</v>
      </c>
      <c r="N10" s="5">
        <v>75.306595460000025</v>
      </c>
      <c r="O10" s="5">
        <v>55.813084850000003</v>
      </c>
      <c r="P10" s="5">
        <v>11.268333353333333</v>
      </c>
      <c r="Q10" s="5">
        <v>10.442642516666668</v>
      </c>
    </row>
    <row r="11" spans="1:19">
      <c r="A11" s="2">
        <v>40452</v>
      </c>
      <c r="B11" s="3">
        <v>0.33417146174193552</v>
      </c>
      <c r="C11" s="3">
        <v>0.33417146174193552</v>
      </c>
      <c r="D11" s="3">
        <v>0.33417146174193552</v>
      </c>
      <c r="E11" s="3">
        <v>0.25183412480645156</v>
      </c>
      <c r="F11" s="4">
        <v>1435.9756826</v>
      </c>
      <c r="G11" s="5">
        <v>61.337896880000002</v>
      </c>
      <c r="H11" s="4">
        <v>1261.637044128566</v>
      </c>
      <c r="I11" s="5">
        <v>70.819367761237501</v>
      </c>
      <c r="J11" s="4">
        <v>1604.3616419447167</v>
      </c>
      <c r="K11" s="5">
        <v>68.530524521845678</v>
      </c>
      <c r="L11" s="4">
        <v>890.61203548420622</v>
      </c>
      <c r="M11" s="5">
        <v>28.352483561152123</v>
      </c>
      <c r="N11" s="5">
        <v>49.904809731999997</v>
      </c>
      <c r="O11" s="5">
        <v>27.091177168470004</v>
      </c>
      <c r="P11" s="5">
        <v>5.4761290519354855</v>
      </c>
      <c r="Q11" s="5">
        <v>4.3602870829032252</v>
      </c>
    </row>
    <row r="12" spans="1:19">
      <c r="A12" s="2">
        <v>40483</v>
      </c>
      <c r="B12" s="6">
        <v>1.3188578356666667</v>
      </c>
      <c r="C12" s="6">
        <v>1.3188578356666667</v>
      </c>
      <c r="D12" s="6">
        <v>1.3188578356666667</v>
      </c>
      <c r="E12" s="3">
        <v>0.98830540766666664</v>
      </c>
      <c r="F12" s="4">
        <v>7385.5777399999997</v>
      </c>
      <c r="G12" s="4">
        <v>505.26755249999997</v>
      </c>
      <c r="H12" s="4">
        <v>6074.1376065873901</v>
      </c>
      <c r="I12" s="4">
        <v>427.88742031273694</v>
      </c>
      <c r="J12" s="4">
        <v>2160.4861042596654</v>
      </c>
      <c r="K12" s="4">
        <v>147.80475544114719</v>
      </c>
      <c r="L12" s="4">
        <v>1444.9945750186916</v>
      </c>
      <c r="M12" s="5">
        <v>38.714730412451004</v>
      </c>
      <c r="N12" s="5">
        <v>85.669056620000006</v>
      </c>
      <c r="O12" s="5">
        <v>18.483146188999999</v>
      </c>
      <c r="P12" s="5">
        <v>-0.75033333979999972</v>
      </c>
      <c r="Q12" s="5">
        <v>1.0807947363333332</v>
      </c>
    </row>
    <row r="13" spans="1:19">
      <c r="A13" s="2">
        <v>40513</v>
      </c>
      <c r="B13" s="3">
        <v>0.26132541354838718</v>
      </c>
      <c r="C13" s="3">
        <v>0.26132541354838718</v>
      </c>
      <c r="D13" s="3">
        <v>0.26132541354838718</v>
      </c>
      <c r="E13" s="3">
        <v>0.18154529158064511</v>
      </c>
      <c r="F13" s="4">
        <v>1393.2183389999996</v>
      </c>
      <c r="G13" s="5">
        <v>44.379576629999988</v>
      </c>
      <c r="H13" s="4">
        <v>1014.5774806842919</v>
      </c>
      <c r="I13" s="5">
        <v>46.497865402987244</v>
      </c>
      <c r="J13" s="4">
        <v>1990.4995469151315</v>
      </c>
      <c r="K13" s="5">
        <v>63.40537147487499</v>
      </c>
      <c r="L13" s="4">
        <v>1248.1372186812073</v>
      </c>
      <c r="M13" s="5">
        <v>30.431979124285888</v>
      </c>
      <c r="N13" s="5">
        <v>65.971693942599984</v>
      </c>
      <c r="O13" s="5">
        <v>11.247364842030002</v>
      </c>
      <c r="P13" s="5">
        <v>-7.7577419580645142</v>
      </c>
      <c r="Q13" s="5">
        <v>1.9174081619354844E-2</v>
      </c>
    </row>
    <row r="14" spans="1:19">
      <c r="A14" s="2">
        <v>40544</v>
      </c>
      <c r="B14" s="3">
        <v>0.44459830645161291</v>
      </c>
      <c r="C14" s="3">
        <v>0.44459830645161291</v>
      </c>
      <c r="D14" s="3">
        <v>0.44459830645161291</v>
      </c>
      <c r="E14" s="3">
        <v>0.34052468464516134</v>
      </c>
      <c r="F14" s="4">
        <v>2711.6630069999997</v>
      </c>
      <c r="G14" s="4">
        <v>123.02602137000002</v>
      </c>
      <c r="H14" s="4">
        <v>2337.1179410051332</v>
      </c>
      <c r="I14" s="4">
        <v>140.92501092645284</v>
      </c>
      <c r="J14" s="4">
        <v>2277.1542905282372</v>
      </c>
      <c r="K14" s="4">
        <v>103.31270093708891</v>
      </c>
      <c r="L14" s="4">
        <v>1585.6710769989445</v>
      </c>
      <c r="M14" s="5">
        <v>40.810111453927085</v>
      </c>
      <c r="N14" s="5">
        <v>48.732440128000015</v>
      </c>
      <c r="O14" s="6">
        <v>9.1164468330000012</v>
      </c>
      <c r="P14" s="5">
        <v>-2.9761290522580639</v>
      </c>
      <c r="Q14" s="5">
        <v>0.10102330543548385</v>
      </c>
    </row>
    <row r="15" spans="1:19">
      <c r="A15" s="2">
        <v>40575</v>
      </c>
      <c r="B15" s="3">
        <v>0.56529189214285724</v>
      </c>
      <c r="C15" s="3">
        <v>0.56529189214285724</v>
      </c>
      <c r="D15" s="3">
        <v>0.56529189214285724</v>
      </c>
      <c r="E15" s="3">
        <v>0.4271896578571428</v>
      </c>
      <c r="F15" s="4">
        <v>3388.213784999999</v>
      </c>
      <c r="G15" s="4">
        <v>155.15252419999999</v>
      </c>
      <c r="H15" s="4">
        <v>2752.8456390088272</v>
      </c>
      <c r="I15" s="4">
        <v>162.21579750243825</v>
      </c>
      <c r="J15" s="4">
        <v>2477.5718611562193</v>
      </c>
      <c r="K15" s="4">
        <v>113.45255923620753</v>
      </c>
      <c r="L15" s="4">
        <v>1796.5644635264721</v>
      </c>
      <c r="M15" s="5">
        <v>43.894257956493973</v>
      </c>
      <c r="N15" s="5">
        <v>45.620182614000008</v>
      </c>
      <c r="O15" s="6">
        <v>8.4073450489999981</v>
      </c>
      <c r="P15" s="5">
        <v>-5.9714286214285721</v>
      </c>
      <c r="Q15" s="5">
        <v>0.13383875676276463</v>
      </c>
    </row>
    <row r="16" spans="1:19">
      <c r="A16" s="2">
        <v>40603</v>
      </c>
      <c r="B16" s="6">
        <v>1.1889021719354838</v>
      </c>
      <c r="C16" s="6">
        <v>1.1889021719354838</v>
      </c>
      <c r="D16" s="6">
        <v>1.1889021719354838</v>
      </c>
      <c r="E16" s="3">
        <v>0.91727407612903222</v>
      </c>
      <c r="F16" s="4">
        <v>7496.9094109999996</v>
      </c>
      <c r="G16" s="4">
        <v>707.52346140999998</v>
      </c>
      <c r="H16" s="4">
        <v>6235.5511933783355</v>
      </c>
      <c r="I16" s="4">
        <v>521.02900462609978</v>
      </c>
      <c r="J16" s="4">
        <v>2354.2939093512473</v>
      </c>
      <c r="K16" s="4">
        <v>222.18731777564653</v>
      </c>
      <c r="L16" s="4">
        <v>1705.7222405598648</v>
      </c>
      <c r="M16" s="5">
        <v>41.951773308200721</v>
      </c>
      <c r="N16" s="5">
        <v>20.809132183999999</v>
      </c>
      <c r="O16" s="6">
        <v>7.5634508819000015</v>
      </c>
      <c r="P16" s="5">
        <v>0.38967742419354845</v>
      </c>
      <c r="Q16" s="5">
        <v>0.34746899448387092</v>
      </c>
    </row>
    <row r="17" spans="1:17">
      <c r="A17" s="2">
        <v>40634</v>
      </c>
      <c r="B17" s="6">
        <v>2.731752894</v>
      </c>
      <c r="C17" s="6">
        <v>2.731752894</v>
      </c>
      <c r="D17" s="6">
        <v>2.731752894</v>
      </c>
      <c r="E17" s="6">
        <v>1.9384991619999998</v>
      </c>
      <c r="F17" s="4">
        <v>13066.752302999999</v>
      </c>
      <c r="G17" s="4">
        <v>976.32896618999996</v>
      </c>
      <c r="H17" s="4">
        <v>10245.1775473052</v>
      </c>
      <c r="I17" s="4">
        <v>734.90564115265602</v>
      </c>
      <c r="J17" s="4">
        <v>1845.4030526722472</v>
      </c>
      <c r="K17" s="4">
        <v>137.88586378914971</v>
      </c>
      <c r="L17" s="4">
        <v>1320.5887161500077</v>
      </c>
      <c r="M17" s="5">
        <v>31.259163471788934</v>
      </c>
      <c r="N17" s="5">
        <v>13.338196786000001</v>
      </c>
      <c r="O17" s="5">
        <v>42.159685840000002</v>
      </c>
      <c r="P17" s="5">
        <v>8.4663333433333339</v>
      </c>
      <c r="Q17" s="5">
        <v>6.5242225440000006</v>
      </c>
    </row>
    <row r="18" spans="1:17">
      <c r="A18" s="2">
        <v>40664</v>
      </c>
      <c r="B18" s="3">
        <v>6.9885672096774223E-2</v>
      </c>
      <c r="C18" s="3">
        <v>6.9885672096774223E-2</v>
      </c>
      <c r="D18" s="3">
        <v>6.9885672096774223E-2</v>
      </c>
      <c r="E18" s="3">
        <v>5.0110896419354838E-2</v>
      </c>
      <c r="F18" s="4">
        <v>210.50679769999999</v>
      </c>
      <c r="G18" s="6">
        <v>4.3732506150000017</v>
      </c>
      <c r="H18" s="4">
        <v>181.2175729230562</v>
      </c>
      <c r="I18" s="6">
        <v>7.1728236112735537</v>
      </c>
      <c r="J18" s="4">
        <v>1124.6115048545355</v>
      </c>
      <c r="K18" s="5">
        <v>23.363654310427599</v>
      </c>
      <c r="L18" s="4">
        <v>478.52490797089496</v>
      </c>
      <c r="M18" s="5">
        <v>14.244314445965868</v>
      </c>
      <c r="N18" s="5">
        <v>39.621000062999997</v>
      </c>
      <c r="O18" s="5">
        <v>59.086935409999981</v>
      </c>
      <c r="P18" s="5">
        <v>11.553548400000002</v>
      </c>
      <c r="Q18" s="5">
        <v>11.499676745161292</v>
      </c>
    </row>
    <row r="19" spans="1:17">
      <c r="A19" s="2">
        <v>40695</v>
      </c>
      <c r="B19" s="3">
        <v>5.8020780066666666E-2</v>
      </c>
      <c r="C19" s="3">
        <v>5.8020780066666666E-2</v>
      </c>
      <c r="D19" s="3">
        <v>5.8020780066666666E-2</v>
      </c>
      <c r="E19" s="3">
        <v>4.7472331833333319E-2</v>
      </c>
      <c r="F19" s="4">
        <v>146.57983910000002</v>
      </c>
      <c r="G19" s="6">
        <v>4.4160792760000005</v>
      </c>
      <c r="H19" s="4">
        <v>157.27589503052641</v>
      </c>
      <c r="I19" s="6">
        <v>8.2430773704502531</v>
      </c>
      <c r="J19" s="4">
        <v>974.66564843414324</v>
      </c>
      <c r="K19" s="5">
        <v>29.364207465555161</v>
      </c>
      <c r="L19" s="4">
        <v>306.60894869578237</v>
      </c>
      <c r="M19" s="5">
        <v>20.400037872766315</v>
      </c>
      <c r="N19" s="5">
        <v>63.884135804999993</v>
      </c>
      <c r="O19" s="5">
        <v>74.67382760000001</v>
      </c>
      <c r="P19" s="5">
        <v>16.975000033333334</v>
      </c>
      <c r="Q19" s="5">
        <v>16.739903200000001</v>
      </c>
    </row>
    <row r="20" spans="1:17">
      <c r="A20" s="2">
        <v>40725</v>
      </c>
      <c r="B20" s="3">
        <v>2.226823429032258E-2</v>
      </c>
      <c r="C20" s="3">
        <v>2.226823429032258E-2</v>
      </c>
      <c r="D20" s="3">
        <v>2.226823429032258E-2</v>
      </c>
      <c r="E20" s="3">
        <v>2.2190322516129037E-2</v>
      </c>
      <c r="F20" s="5">
        <v>50.705547830000008</v>
      </c>
      <c r="G20" s="6">
        <v>1.8630313519999999</v>
      </c>
      <c r="H20" s="5">
        <v>68.883943341799437</v>
      </c>
      <c r="I20" s="6">
        <v>3.8353763817635071</v>
      </c>
      <c r="J20" s="4">
        <v>850.14742327098179</v>
      </c>
      <c r="K20" s="5">
        <v>31.236253184281885</v>
      </c>
      <c r="L20" s="4">
        <v>213.35804930927566</v>
      </c>
      <c r="M20" s="5">
        <v>25.506556141855608</v>
      </c>
      <c r="N20" s="5">
        <v>25.922951754700001</v>
      </c>
      <c r="O20" s="5">
        <v>59.294392899999998</v>
      </c>
      <c r="P20" s="5">
        <v>18.917096741935481</v>
      </c>
      <c r="Q20" s="5">
        <v>18.405297516129032</v>
      </c>
    </row>
    <row r="21" spans="1:17">
      <c r="A21" s="2">
        <v>40756</v>
      </c>
      <c r="B21" s="3">
        <v>0.18533832896774197</v>
      </c>
      <c r="C21" s="3">
        <v>0.18533832896774197</v>
      </c>
      <c r="D21" s="3">
        <v>0.18533832896774197</v>
      </c>
      <c r="E21" s="3">
        <v>0.13498489896774196</v>
      </c>
      <c r="F21" s="4">
        <v>462.82957591000002</v>
      </c>
      <c r="G21" s="5">
        <v>23.234456687000002</v>
      </c>
      <c r="H21" s="4">
        <v>448.83912660439682</v>
      </c>
      <c r="I21" s="5">
        <v>26.837921301689462</v>
      </c>
      <c r="J21" s="4">
        <v>932.35306608781264</v>
      </c>
      <c r="K21" s="5">
        <v>46.804954541617185</v>
      </c>
      <c r="L21" s="4">
        <v>415.98581460313204</v>
      </c>
      <c r="M21" s="5">
        <v>27.497062335795992</v>
      </c>
      <c r="N21" s="4">
        <v>119.70058374639999</v>
      </c>
      <c r="O21" s="5">
        <v>75.225643000000005</v>
      </c>
      <c r="P21" s="5">
        <v>16.722580612903226</v>
      </c>
      <c r="Q21" s="5">
        <v>16.017675903225804</v>
      </c>
    </row>
    <row r="22" spans="1:17">
      <c r="A22" s="2">
        <v>40787</v>
      </c>
      <c r="B22" s="3">
        <v>0.46395314090000001</v>
      </c>
      <c r="C22" s="3">
        <v>0.46395314090000001</v>
      </c>
      <c r="D22" s="3">
        <v>0.46395314090000001</v>
      </c>
      <c r="E22" s="3">
        <v>0.31960119269999993</v>
      </c>
      <c r="F22" s="4">
        <v>1298.0215787000004</v>
      </c>
      <c r="G22" s="5">
        <v>30.305729570000004</v>
      </c>
      <c r="H22" s="4">
        <v>963.05785277798032</v>
      </c>
      <c r="I22" s="5">
        <v>30.39525960143353</v>
      </c>
      <c r="J22" s="4">
        <v>1079.3760423402437</v>
      </c>
      <c r="K22" s="5">
        <v>25.200874096623405</v>
      </c>
      <c r="L22" s="4">
        <v>211.48943176993606</v>
      </c>
      <c r="M22" s="5">
        <v>10.062148344519112</v>
      </c>
      <c r="N22" s="4">
        <v>103.978304763</v>
      </c>
      <c r="O22" s="5">
        <v>68.34154980000001</v>
      </c>
      <c r="P22" s="5">
        <v>13.370333329999998</v>
      </c>
      <c r="Q22" s="5">
        <v>12.338974603333332</v>
      </c>
    </row>
    <row r="23" spans="1:17">
      <c r="A23" s="2">
        <v>40817</v>
      </c>
      <c r="B23" s="3">
        <v>0.33801611806451615</v>
      </c>
      <c r="C23" s="3">
        <v>0.33801611806451615</v>
      </c>
      <c r="D23" s="3">
        <v>0.33801611806451615</v>
      </c>
      <c r="E23" s="3">
        <v>0.23561260093548392</v>
      </c>
      <c r="F23" s="4">
        <v>1077.8829152999999</v>
      </c>
      <c r="G23" s="5">
        <v>27.623341799999995</v>
      </c>
      <c r="H23" s="4">
        <v>846.84399884013328</v>
      </c>
      <c r="I23" s="5">
        <v>32.919967419865365</v>
      </c>
      <c r="J23" s="4">
        <v>1190.5803937258088</v>
      </c>
      <c r="K23" s="5">
        <v>30.511485711890909</v>
      </c>
      <c r="L23" s="4">
        <v>362.74172498081737</v>
      </c>
      <c r="M23" s="5">
        <v>14.947478505594075</v>
      </c>
      <c r="N23" s="5">
        <v>63.136263150999994</v>
      </c>
      <c r="O23" s="5">
        <v>37.873998139999998</v>
      </c>
      <c r="P23" s="5">
        <v>7.8206451580645169</v>
      </c>
      <c r="Q23" s="5">
        <v>6.5966789225806455</v>
      </c>
    </row>
    <row r="24" spans="1:17">
      <c r="A24" s="2">
        <v>40848</v>
      </c>
      <c r="B24" s="3">
        <v>0.11695861406666669</v>
      </c>
      <c r="C24" s="3">
        <v>0.11695861406666669</v>
      </c>
      <c r="D24" s="3">
        <v>0.11695861406666669</v>
      </c>
      <c r="E24" s="3">
        <v>8.05018921E-2</v>
      </c>
      <c r="F24" s="4">
        <v>388.63388639999994</v>
      </c>
      <c r="G24" s="6">
        <v>9.5700460300000021</v>
      </c>
      <c r="H24" s="4">
        <v>301.97871985336837</v>
      </c>
      <c r="I24" s="5">
        <v>11.632386133866571</v>
      </c>
      <c r="J24" s="4">
        <v>1281.9569433336328</v>
      </c>
      <c r="K24" s="5">
        <v>31.567980454471503</v>
      </c>
      <c r="L24" s="4">
        <v>523.78071241059934</v>
      </c>
      <c r="M24" s="5">
        <v>21.82417141422253</v>
      </c>
      <c r="N24" s="5">
        <v>24.057790941</v>
      </c>
      <c r="O24" s="5">
        <v>19.439665734000002</v>
      </c>
      <c r="P24" s="5">
        <v>5.2846666393333335</v>
      </c>
      <c r="Q24" s="5">
        <v>3.8703151233333322</v>
      </c>
    </row>
    <row r="25" spans="1:17">
      <c r="A25" s="2">
        <v>40878</v>
      </c>
      <c r="B25" s="6">
        <v>1.7414197138709677</v>
      </c>
      <c r="C25" s="6">
        <v>1.7414197138709677</v>
      </c>
      <c r="D25" s="6">
        <v>1.7414197138709677</v>
      </c>
      <c r="E25" s="6">
        <v>1.2966822293548386</v>
      </c>
      <c r="F25" s="4">
        <v>10436.919450999998</v>
      </c>
      <c r="G25" s="4">
        <v>719.14498371999991</v>
      </c>
      <c r="H25" s="4">
        <v>8498.1553340330665</v>
      </c>
      <c r="I25" s="4">
        <v>591.48024644004386</v>
      </c>
      <c r="J25" s="4">
        <v>2237.6564937627645</v>
      </c>
      <c r="K25" s="4">
        <v>154.18337347140576</v>
      </c>
      <c r="L25" s="4">
        <v>1479.3386987816896</v>
      </c>
      <c r="M25" s="5">
        <v>37.75279928604678</v>
      </c>
      <c r="N25" s="5">
        <v>93.633761042999978</v>
      </c>
      <c r="O25" s="5">
        <v>21.63389433399999</v>
      </c>
      <c r="P25" s="5">
        <v>1.7487096687419357</v>
      </c>
      <c r="Q25" s="5">
        <v>1.2652945204516131</v>
      </c>
    </row>
    <row r="26" spans="1:17">
      <c r="A26" s="2">
        <v>40909</v>
      </c>
      <c r="B26" s="6">
        <v>1.4722311190322579</v>
      </c>
      <c r="C26" s="6">
        <v>1.4722311190322579</v>
      </c>
      <c r="D26" s="6">
        <v>1.4722311190322579</v>
      </c>
      <c r="E26" s="6">
        <v>1.0667124393548388</v>
      </c>
      <c r="F26" s="4">
        <v>8384.595322000001</v>
      </c>
      <c r="G26" s="4">
        <v>495.44221730000004</v>
      </c>
      <c r="H26" s="4">
        <v>6690.6219679164751</v>
      </c>
      <c r="I26" s="4">
        <v>425.90478684257056</v>
      </c>
      <c r="J26" s="4">
        <v>2126.3299300511685</v>
      </c>
      <c r="K26" s="4">
        <v>125.64394289983782</v>
      </c>
      <c r="L26" s="4">
        <v>1400.6397966714396</v>
      </c>
      <c r="M26" s="5">
        <v>34.175578235720728</v>
      </c>
      <c r="N26" s="5">
        <v>63.269818360999992</v>
      </c>
      <c r="O26" s="5">
        <v>12.028157364100002</v>
      </c>
      <c r="P26" s="5">
        <v>-1.8909677090322579</v>
      </c>
      <c r="Q26" s="5">
        <v>0.1953534378296774</v>
      </c>
    </row>
    <row r="27" spans="1:17">
      <c r="A27" s="2">
        <v>40940</v>
      </c>
      <c r="B27" s="3">
        <v>0.78852665482758633</v>
      </c>
      <c r="C27" s="3">
        <v>0.78852665482758633</v>
      </c>
      <c r="D27" s="3">
        <v>0.78852665482758633</v>
      </c>
      <c r="E27" s="3">
        <v>0.60502863517241368</v>
      </c>
      <c r="F27" s="4">
        <v>4472.2814049999997</v>
      </c>
      <c r="G27" s="4">
        <v>276.47379180999997</v>
      </c>
      <c r="H27" s="4">
        <v>3756.0602237099265</v>
      </c>
      <c r="I27" s="4">
        <v>258.4310555630754</v>
      </c>
      <c r="J27" s="4">
        <v>2263.6067629232043</v>
      </c>
      <c r="K27" s="4">
        <v>139.93483138016254</v>
      </c>
      <c r="L27" s="4">
        <v>1603.8662620898347</v>
      </c>
      <c r="M27" s="5">
        <v>39.72024007572162</v>
      </c>
      <c r="N27" s="5">
        <v>67.722988689000005</v>
      </c>
      <c r="O27" s="5">
        <v>13.654108381999999</v>
      </c>
      <c r="P27" s="5">
        <v>-4.0958620965517234</v>
      </c>
      <c r="Q27" s="5">
        <v>4.611138926551725E-2</v>
      </c>
    </row>
    <row r="28" spans="1:17">
      <c r="A28" s="2">
        <v>40969</v>
      </c>
      <c r="B28" s="6">
        <v>1.3279342093548383</v>
      </c>
      <c r="C28" s="6">
        <v>1.3279342093548383</v>
      </c>
      <c r="D28" s="6">
        <v>1.3279342093548383</v>
      </c>
      <c r="E28" s="3">
        <v>0.94189131322580644</v>
      </c>
      <c r="F28" s="4">
        <v>7056.9411499999987</v>
      </c>
      <c r="G28" s="4">
        <v>447.37316830000009</v>
      </c>
      <c r="H28" s="4">
        <v>5449.4814046764131</v>
      </c>
      <c r="I28" s="4">
        <v>355.19806920387396</v>
      </c>
      <c r="J28" s="4">
        <v>1984.1041976680253</v>
      </c>
      <c r="K28" s="4">
        <v>125.78183115821558</v>
      </c>
      <c r="L28" s="4">
        <v>1377.7991625766492</v>
      </c>
      <c r="M28" s="5">
        <v>32.683455347105422</v>
      </c>
      <c r="N28" s="5">
        <v>21.8383876312</v>
      </c>
      <c r="O28" s="5">
        <v>21.086008663900003</v>
      </c>
      <c r="P28" s="5">
        <v>3.6264516222580632</v>
      </c>
      <c r="Q28" s="5">
        <v>2.7194449549677415</v>
      </c>
    </row>
    <row r="29" spans="1:17">
      <c r="A29" s="2">
        <v>41000</v>
      </c>
      <c r="B29" s="6">
        <v>1.6880155856666665</v>
      </c>
      <c r="C29" s="6">
        <v>1.6880155856666665</v>
      </c>
      <c r="D29" s="6">
        <v>1.6880155856666665</v>
      </c>
      <c r="E29" s="6">
        <v>1.2359079820000001</v>
      </c>
      <c r="F29" s="4">
        <v>7888.1499520000025</v>
      </c>
      <c r="G29" s="4">
        <v>687.19207110000002</v>
      </c>
      <c r="H29" s="4">
        <v>6500.5258808437766</v>
      </c>
      <c r="I29" s="4">
        <v>511.54256438702748</v>
      </c>
      <c r="J29" s="4">
        <v>1802.8669675539165</v>
      </c>
      <c r="K29" s="4">
        <v>157.06039060093659</v>
      </c>
      <c r="L29" s="4">
        <v>1260.8403899551095</v>
      </c>
      <c r="M29" s="5">
        <v>32.111155233019339</v>
      </c>
      <c r="N29" s="5">
        <v>86.308322855999975</v>
      </c>
      <c r="O29" s="5">
        <v>36.613227044999995</v>
      </c>
      <c r="P29" s="5">
        <v>4.5896667097666688</v>
      </c>
      <c r="Q29" s="5">
        <v>4.1444683173333328</v>
      </c>
    </row>
    <row r="30" spans="1:17">
      <c r="A30" s="2">
        <v>41030</v>
      </c>
      <c r="B30" s="3">
        <v>0.22231993238709677</v>
      </c>
      <c r="C30" s="3">
        <v>0.22231993238709677</v>
      </c>
      <c r="D30" s="3">
        <v>0.22231993238709677</v>
      </c>
      <c r="E30" s="3">
        <v>0.15113932245161282</v>
      </c>
      <c r="F30" s="4">
        <v>972.61647030000006</v>
      </c>
      <c r="G30" s="5">
        <v>39.326990629999997</v>
      </c>
      <c r="H30" s="4">
        <v>711.7333390040418</v>
      </c>
      <c r="I30" s="5">
        <v>35.430685724160611</v>
      </c>
      <c r="J30" s="4">
        <v>1633.3820026635819</v>
      </c>
      <c r="K30" s="5">
        <v>66.044530804395549</v>
      </c>
      <c r="L30" s="4">
        <v>1002.8616573951051</v>
      </c>
      <c r="M30" s="5">
        <v>25.876308734803199</v>
      </c>
      <c r="N30" s="5">
        <v>44.103970542000006</v>
      </c>
      <c r="O30" s="5">
        <v>65.867431100000005</v>
      </c>
      <c r="P30" s="5">
        <v>11.723548483870969</v>
      </c>
      <c r="Q30" s="5">
        <v>11.665518051612903</v>
      </c>
    </row>
    <row r="31" spans="1:17">
      <c r="A31" s="2">
        <v>41061</v>
      </c>
      <c r="B31" s="3">
        <v>0.89098235399999992</v>
      </c>
      <c r="C31" s="3">
        <v>0.89098235399999992</v>
      </c>
      <c r="D31" s="3">
        <v>0.89098235399999992</v>
      </c>
      <c r="E31" s="3">
        <v>0.66739517399999992</v>
      </c>
      <c r="F31" s="4">
        <v>3555.0439579999993</v>
      </c>
      <c r="G31" s="4">
        <v>238.74598538999993</v>
      </c>
      <c r="H31" s="4">
        <v>3060.4400859522025</v>
      </c>
      <c r="I31" s="4">
        <v>215.77120600570927</v>
      </c>
      <c r="J31" s="4">
        <v>1539.3623240699917</v>
      </c>
      <c r="K31" s="4">
        <v>103.3789109176363</v>
      </c>
      <c r="L31" s="4">
        <v>967.38540256908186</v>
      </c>
      <c r="M31" s="5">
        <v>27.13131457833088</v>
      </c>
      <c r="N31" s="4">
        <v>149.92363700000001</v>
      </c>
      <c r="O31" s="5">
        <v>96.696121500000004</v>
      </c>
      <c r="P31" s="5">
        <v>13.389666720000001</v>
      </c>
      <c r="Q31" s="5">
        <v>13.177831059999999</v>
      </c>
    </row>
    <row r="32" spans="1:17">
      <c r="A32" s="2">
        <v>41091</v>
      </c>
      <c r="B32" s="3">
        <v>0.15160349080645158</v>
      </c>
      <c r="C32" s="3">
        <v>0.15160349080645158</v>
      </c>
      <c r="D32" s="3">
        <v>0.15160349080645158</v>
      </c>
      <c r="E32" s="3">
        <v>0.10849246661290322</v>
      </c>
      <c r="F32" s="4">
        <v>613.91442690000019</v>
      </c>
      <c r="G32" s="5">
        <v>25.824966679999999</v>
      </c>
      <c r="H32" s="4">
        <v>455.07286580227503</v>
      </c>
      <c r="I32" s="5">
        <v>23.141868482398582</v>
      </c>
      <c r="J32" s="4">
        <v>1511.9004447239261</v>
      </c>
      <c r="K32" s="5">
        <v>63.599704906103085</v>
      </c>
      <c r="L32" s="4">
        <v>854.50793108990501</v>
      </c>
      <c r="M32" s="5">
        <v>26.738477454783482</v>
      </c>
      <c r="N32" s="5">
        <v>71.383491636000002</v>
      </c>
      <c r="O32" s="5">
        <v>96.682221999999967</v>
      </c>
      <c r="P32" s="5">
        <v>17.310645096774198</v>
      </c>
      <c r="Q32" s="5">
        <v>16.943746645161287</v>
      </c>
    </row>
    <row r="33" spans="1:17">
      <c r="A33" s="2">
        <v>41122</v>
      </c>
      <c r="B33" s="3">
        <v>0.40853078496774187</v>
      </c>
      <c r="C33" s="3">
        <v>0.40853078496774187</v>
      </c>
      <c r="D33" s="3">
        <v>0.40853078496774187</v>
      </c>
      <c r="E33" s="3">
        <v>0.31111933351612897</v>
      </c>
      <c r="F33" s="4">
        <v>1227.1965224999999</v>
      </c>
      <c r="G33" s="4">
        <v>108.72200368099999</v>
      </c>
      <c r="H33" s="4">
        <v>1110.2464597691201</v>
      </c>
      <c r="I33" s="5">
        <v>89.348799502302469</v>
      </c>
      <c r="J33" s="4">
        <v>1121.5377239725044</v>
      </c>
      <c r="K33" s="5">
        <v>99.361282684679608</v>
      </c>
      <c r="L33" s="4">
        <v>501.30259892246687</v>
      </c>
      <c r="M33" s="5">
        <v>18.91253874365529</v>
      </c>
      <c r="N33" s="4">
        <v>174.02866354</v>
      </c>
      <c r="O33" s="4">
        <v>100.8751403</v>
      </c>
      <c r="P33" s="5">
        <v>16.257096838709678</v>
      </c>
      <c r="Q33" s="5">
        <v>15.599293741935483</v>
      </c>
    </row>
    <row r="34" spans="1:17">
      <c r="A34" s="2">
        <v>41153</v>
      </c>
      <c r="B34" s="6">
        <v>1.5075142936666666</v>
      </c>
      <c r="C34" s="6">
        <v>1.5075142936666666</v>
      </c>
      <c r="D34" s="6">
        <v>1.5075142936666666</v>
      </c>
      <c r="E34" s="6">
        <v>1.1084951343333336</v>
      </c>
      <c r="F34" s="4">
        <v>7232.9792430000007</v>
      </c>
      <c r="G34" s="4">
        <v>534.91708470000003</v>
      </c>
      <c r="H34" s="4">
        <v>6017.7808391389253</v>
      </c>
      <c r="I34" s="4">
        <v>433.87311781022731</v>
      </c>
      <c r="J34" s="4">
        <v>1851.0611310734403</v>
      </c>
      <c r="K34" s="4">
        <v>136.89576496712564</v>
      </c>
      <c r="L34" s="4">
        <v>1204.9573336937383</v>
      </c>
      <c r="M34" s="5">
        <v>33.142844485568439</v>
      </c>
      <c r="N34" s="5">
        <v>89.234379388999997</v>
      </c>
      <c r="O34" s="5">
        <v>63.194705600000006</v>
      </c>
      <c r="P34" s="5">
        <v>11.898000076666669</v>
      </c>
      <c r="Q34" s="5">
        <v>11.216921049999998</v>
      </c>
    </row>
    <row r="35" spans="1:17">
      <c r="A35" s="2">
        <v>41183</v>
      </c>
      <c r="B35" s="6">
        <v>1.4928983645161289</v>
      </c>
      <c r="C35" s="6">
        <v>1.4928983645161289</v>
      </c>
      <c r="D35" s="6">
        <v>1.4928983645161289</v>
      </c>
      <c r="E35" s="6">
        <v>1.1009212474193548</v>
      </c>
      <c r="F35" s="4">
        <v>7574.7975820000001</v>
      </c>
      <c r="G35" s="4">
        <v>538.82478040000001</v>
      </c>
      <c r="H35" s="4">
        <v>6230.5242821381144</v>
      </c>
      <c r="I35" s="4">
        <v>445.03960850610451</v>
      </c>
      <c r="J35" s="4">
        <v>1894.3722827338447</v>
      </c>
      <c r="K35" s="4">
        <v>134.75405859999967</v>
      </c>
      <c r="L35" s="4">
        <v>1247.7349904530458</v>
      </c>
      <c r="M35" s="5">
        <v>34.176858981802717</v>
      </c>
      <c r="N35" s="5">
        <v>89.322564145000001</v>
      </c>
      <c r="O35" s="5">
        <v>37.089843883999997</v>
      </c>
      <c r="P35" s="5">
        <v>6.0919354864516118</v>
      </c>
      <c r="Q35" s="5">
        <v>5.5470574035483882</v>
      </c>
    </row>
    <row r="36" spans="1:17">
      <c r="A36" s="2">
        <v>41214</v>
      </c>
      <c r="B36" s="6">
        <v>1.125841418</v>
      </c>
      <c r="C36" s="6">
        <v>1.125841418</v>
      </c>
      <c r="D36" s="6">
        <v>1.125841418</v>
      </c>
      <c r="E36" s="3">
        <v>0.82398999200000012</v>
      </c>
      <c r="F36" s="4">
        <v>5460.2477020000006</v>
      </c>
      <c r="G36" s="4">
        <v>355.60403630000008</v>
      </c>
      <c r="H36" s="4">
        <v>4497.0454066036773</v>
      </c>
      <c r="I36" s="4">
        <v>309.66233001645503</v>
      </c>
      <c r="J36" s="4">
        <v>1871.1133998135012</v>
      </c>
      <c r="K36" s="4">
        <v>121.85811054854783</v>
      </c>
      <c r="L36" s="4">
        <v>1246.4420311361357</v>
      </c>
      <c r="M36" s="5">
        <v>33.386074644740617</v>
      </c>
      <c r="N36" s="5">
        <v>69.300133909999985</v>
      </c>
      <c r="O36" s="5">
        <v>23.954062561999997</v>
      </c>
      <c r="P36" s="5">
        <v>3.943000026</v>
      </c>
      <c r="Q36" s="5">
        <v>2.9595481296666666</v>
      </c>
    </row>
    <row r="37" spans="1:17">
      <c r="A37" s="2">
        <v>41244</v>
      </c>
      <c r="B37" s="3">
        <v>0.7858632751612904</v>
      </c>
      <c r="C37" s="3">
        <v>0.7858632751612904</v>
      </c>
      <c r="D37" s="3">
        <v>0.7858632751612904</v>
      </c>
      <c r="E37" s="3">
        <v>0.57528700290322576</v>
      </c>
      <c r="F37" s="4">
        <v>4370.8492770000003</v>
      </c>
      <c r="G37" s="4">
        <v>250.81269140000003</v>
      </c>
      <c r="H37" s="4">
        <v>3533.7731355082274</v>
      </c>
      <c r="I37" s="4">
        <v>225.27246995912051</v>
      </c>
      <c r="J37" s="4">
        <v>2076.5547211662092</v>
      </c>
      <c r="K37" s="4">
        <v>119.15905684408592</v>
      </c>
      <c r="L37" s="4">
        <v>1464.9471070894522</v>
      </c>
      <c r="M37" s="5">
        <v>36.876236078922375</v>
      </c>
      <c r="N37" s="5">
        <v>98.496027771000016</v>
      </c>
      <c r="O37" s="5">
        <v>17.263472879999998</v>
      </c>
      <c r="P37" s="5">
        <v>-3.9964515871677415</v>
      </c>
      <c r="Q37" s="5">
        <v>0.15130328581935484</v>
      </c>
    </row>
    <row r="38" spans="1:17">
      <c r="A38" s="2">
        <v>41275</v>
      </c>
      <c r="B38" s="3">
        <v>0.89669467322580665</v>
      </c>
      <c r="C38" s="3">
        <v>0.89669467322580665</v>
      </c>
      <c r="D38" s="3">
        <v>0.89669467322580665</v>
      </c>
      <c r="E38" s="3">
        <v>0.67301499677419363</v>
      </c>
      <c r="F38" s="4">
        <v>5316.3501819999992</v>
      </c>
      <c r="G38" s="4">
        <v>338.98174669999986</v>
      </c>
      <c r="H38" s="4">
        <v>4352.0201179897267</v>
      </c>
      <c r="I38" s="4">
        <v>294.25678987224052</v>
      </c>
      <c r="J38" s="4">
        <v>2213.5713617476031</v>
      </c>
      <c r="K38" s="4">
        <v>141.14199667115582</v>
      </c>
      <c r="L38" s="4">
        <v>1608.7375373906932</v>
      </c>
      <c r="M38" s="5">
        <v>39.420852732205681</v>
      </c>
      <c r="N38" s="5">
        <v>36.502491223000007</v>
      </c>
      <c r="O38" s="6">
        <v>7.5091146368000024</v>
      </c>
      <c r="P38" s="5">
        <v>-4.3345161583870961</v>
      </c>
      <c r="Q38" s="5">
        <v>0.24482055817741938</v>
      </c>
    </row>
    <row r="39" spans="1:17">
      <c r="A39" s="2">
        <v>41306</v>
      </c>
      <c r="B39" s="3">
        <v>0.64130257428571436</v>
      </c>
      <c r="C39" s="3">
        <v>0.64130257428571436</v>
      </c>
      <c r="D39" s="3">
        <v>0.64130257428571436</v>
      </c>
      <c r="E39" s="3">
        <v>0.48226553678571421</v>
      </c>
      <c r="F39" s="4">
        <v>3713.402701</v>
      </c>
      <c r="G39" s="4">
        <v>186.22662960000005</v>
      </c>
      <c r="H39" s="4">
        <v>3073.5293470586957</v>
      </c>
      <c r="I39" s="4">
        <v>190.63086518575346</v>
      </c>
      <c r="J39" s="4">
        <v>2393.5211521159331</v>
      </c>
      <c r="K39" s="4">
        <v>120.03475507760827</v>
      </c>
      <c r="L39" s="4">
        <v>1793.5898369514055</v>
      </c>
      <c r="M39" s="5">
        <v>42.952326070000019</v>
      </c>
      <c r="N39" s="5">
        <v>43.230661689999998</v>
      </c>
      <c r="O39" s="6">
        <v>7.7718052948</v>
      </c>
      <c r="P39" s="5">
        <v>-2.0449999882142857</v>
      </c>
      <c r="Q39" s="5">
        <v>0.18608686924285714</v>
      </c>
    </row>
    <row r="40" spans="1:17">
      <c r="A40" s="2">
        <v>41334</v>
      </c>
      <c r="B40" s="3">
        <v>0.36975906903225797</v>
      </c>
      <c r="C40" s="3">
        <v>0.36975906903225797</v>
      </c>
      <c r="D40" s="3">
        <v>0.36975906903225797</v>
      </c>
      <c r="E40" s="3">
        <v>0.27943289129032262</v>
      </c>
      <c r="F40" s="4">
        <v>2396.6263860000004</v>
      </c>
      <c r="G40" s="5">
        <v>96.667665649999989</v>
      </c>
      <c r="H40" s="4">
        <v>1930.1065655713987</v>
      </c>
      <c r="I40" s="4">
        <v>107.88581888978452</v>
      </c>
      <c r="J40" s="4">
        <v>2419.9480429813943</v>
      </c>
      <c r="K40" s="5">
        <v>97.608342674056686</v>
      </c>
      <c r="L40" s="4">
        <v>1812.8161097838886</v>
      </c>
      <c r="M40" s="5">
        <v>43.179571764701542</v>
      </c>
      <c r="N40" s="6">
        <v>4.320643531</v>
      </c>
      <c r="O40" s="6">
        <v>1.2579785005999999</v>
      </c>
      <c r="P40" s="5">
        <v>-3.6248387322580653</v>
      </c>
      <c r="Q40" s="5">
        <v>0.10452639522032257</v>
      </c>
    </row>
    <row r="41" spans="1:17">
      <c r="A41" s="2">
        <v>41365</v>
      </c>
      <c r="B41" s="6">
        <v>3.1175439106666669</v>
      </c>
      <c r="C41" s="6">
        <v>3.1175439106666669</v>
      </c>
      <c r="D41" s="6">
        <v>3.1175439106666669</v>
      </c>
      <c r="E41" s="6">
        <v>2.2738259117666666</v>
      </c>
      <c r="F41" s="4">
        <v>14450.232104999997</v>
      </c>
      <c r="G41" s="4">
        <v>1299.4315398399999</v>
      </c>
      <c r="H41" s="4">
        <v>11789.063928069088</v>
      </c>
      <c r="I41" s="4">
        <v>974.14795764397581</v>
      </c>
      <c r="J41" s="4">
        <v>1788.2458197709552</v>
      </c>
      <c r="K41" s="4">
        <v>160.80731889388403</v>
      </c>
      <c r="L41" s="4">
        <v>1326.0405031384423</v>
      </c>
      <c r="M41" s="5">
        <v>34.057315924200871</v>
      </c>
      <c r="N41" s="5">
        <v>45.354138572899998</v>
      </c>
      <c r="O41" s="5">
        <v>29.019155205600001</v>
      </c>
      <c r="P41" s="5">
        <v>4.3073333033333334</v>
      </c>
      <c r="Q41" s="5">
        <v>2.2358812373666668</v>
      </c>
    </row>
    <row r="42" spans="1:17">
      <c r="A42" s="2">
        <v>41395</v>
      </c>
      <c r="B42" s="3">
        <v>0.34954737245161305</v>
      </c>
      <c r="C42" s="3">
        <v>0.34954737245161305</v>
      </c>
      <c r="D42" s="3">
        <v>0.34954737245161305</v>
      </c>
      <c r="E42" s="3">
        <v>0.22251323887096774</v>
      </c>
      <c r="F42" s="4">
        <v>963.52460670000016</v>
      </c>
      <c r="G42" s="5">
        <v>40.231555697999994</v>
      </c>
      <c r="H42" s="4">
        <v>715.30883152291449</v>
      </c>
      <c r="I42" s="5">
        <v>35.30102421282789</v>
      </c>
      <c r="J42" s="4">
        <v>1029.1562073553071</v>
      </c>
      <c r="K42" s="5">
        <v>42.97197660326502</v>
      </c>
      <c r="L42" s="4">
        <v>563.59617157656976</v>
      </c>
      <c r="M42" s="5">
        <v>14.470974172215605</v>
      </c>
      <c r="N42" s="5">
        <v>24.010557990000002</v>
      </c>
      <c r="O42" s="5">
        <v>67.325943100000003</v>
      </c>
      <c r="P42" s="5">
        <v>13.266129051612902</v>
      </c>
      <c r="Q42" s="5">
        <v>12.955133125806451</v>
      </c>
    </row>
    <row r="43" spans="1:17">
      <c r="A43" s="2">
        <v>41426</v>
      </c>
      <c r="B43" s="3">
        <v>4.2897381866666681E-2</v>
      </c>
      <c r="C43" s="3">
        <v>4.2897381866666681E-2</v>
      </c>
      <c r="D43" s="3">
        <v>4.2897381866666681E-2</v>
      </c>
      <c r="E43" s="3">
        <v>3.4113345333333336E-2</v>
      </c>
      <c r="F43" s="4">
        <v>101.0318805</v>
      </c>
      <c r="G43" s="6">
        <v>2.2670763159999998</v>
      </c>
      <c r="H43" s="5">
        <v>99.870318723794057</v>
      </c>
      <c r="I43" s="6">
        <v>4.4568328220275149</v>
      </c>
      <c r="J43" s="4">
        <v>908.64162937380399</v>
      </c>
      <c r="K43" s="5">
        <v>20.389207009946421</v>
      </c>
      <c r="L43" s="4">
        <v>271.75217372997918</v>
      </c>
      <c r="M43" s="5">
        <v>15.078914122264628</v>
      </c>
      <c r="N43" s="5">
        <v>66.834051285000001</v>
      </c>
      <c r="O43" s="5">
        <v>82.036862800000009</v>
      </c>
      <c r="P43" s="5">
        <v>16.225999999999999</v>
      </c>
      <c r="Q43" s="5">
        <v>16.071193900000004</v>
      </c>
    </row>
    <row r="44" spans="1:17">
      <c r="A44" s="2">
        <v>41456</v>
      </c>
      <c r="B44" s="3">
        <v>2.3034749138709672E-2</v>
      </c>
      <c r="C44" s="3">
        <v>2.3034749138709672E-2</v>
      </c>
      <c r="D44" s="3">
        <v>2.3034749138709672E-2</v>
      </c>
      <c r="E44" s="3">
        <v>2.233641516129032E-2</v>
      </c>
      <c r="F44" s="5">
        <v>47.283048319999999</v>
      </c>
      <c r="G44" s="6">
        <v>1.5303641610000001</v>
      </c>
      <c r="H44" s="5">
        <v>57.564509047254738</v>
      </c>
      <c r="I44" s="6">
        <v>3.438393152961325</v>
      </c>
      <c r="J44" s="4">
        <v>766.38417875389268</v>
      </c>
      <c r="K44" s="5">
        <v>24.804805705127613</v>
      </c>
      <c r="L44" s="5">
        <v>87.134722693205674</v>
      </c>
      <c r="M44" s="5">
        <v>20.535596441101692</v>
      </c>
      <c r="N44" s="5">
        <v>34.516036187500006</v>
      </c>
      <c r="O44" s="5">
        <v>53.010733800000011</v>
      </c>
      <c r="P44" s="5">
        <v>17.772903225806452</v>
      </c>
      <c r="Q44" s="5">
        <v>17.37639161290323</v>
      </c>
    </row>
    <row r="45" spans="1:17">
      <c r="A45" s="2">
        <v>41487</v>
      </c>
      <c r="B45" s="3">
        <v>4.3296139806451611E-2</v>
      </c>
      <c r="C45" s="3">
        <v>4.3296139806451611E-2</v>
      </c>
      <c r="D45" s="3">
        <v>4.3296139806451611E-2</v>
      </c>
      <c r="E45" s="3">
        <v>3.5977569548387101E-2</v>
      </c>
      <c r="F45" s="5">
        <v>86.338111680000011</v>
      </c>
      <c r="G45" s="6">
        <v>3.9697843019999985</v>
      </c>
      <c r="H45" s="5">
        <v>99.273011632621987</v>
      </c>
      <c r="I45" s="6">
        <v>6.7720813454306796</v>
      </c>
      <c r="J45" s="4">
        <v>744.52264020381301</v>
      </c>
      <c r="K45" s="5">
        <v>34.232788213273039</v>
      </c>
      <c r="L45" s="4">
        <v>140.90184233657328</v>
      </c>
      <c r="M45" s="5">
        <v>26.863961023353188</v>
      </c>
      <c r="N45" s="5">
        <v>61.88770444</v>
      </c>
      <c r="O45" s="5">
        <v>62.303138099999998</v>
      </c>
      <c r="P45" s="5">
        <v>16.959999967741936</v>
      </c>
      <c r="Q45" s="5">
        <v>16.223510032258066</v>
      </c>
    </row>
    <row r="46" spans="1:17">
      <c r="A46" s="2">
        <v>41518</v>
      </c>
      <c r="B46" s="3">
        <v>3.6446603733333333E-2</v>
      </c>
      <c r="C46" s="3">
        <v>3.6446603733333333E-2</v>
      </c>
      <c r="D46" s="3">
        <v>3.6446603733333333E-2</v>
      </c>
      <c r="E46" s="3">
        <v>2.798889886666666E-2</v>
      </c>
      <c r="F46" s="5">
        <v>59.437837500000001</v>
      </c>
      <c r="G46" s="6">
        <v>3.4269999649999994</v>
      </c>
      <c r="H46" s="5">
        <v>68.504019592407971</v>
      </c>
      <c r="I46" s="6">
        <v>4.5217547724189728</v>
      </c>
      <c r="J46" s="4">
        <v>629.174216137136</v>
      </c>
      <c r="K46" s="5">
        <v>36.276219396995451</v>
      </c>
      <c r="L46" s="4">
        <v>102.77720934420988</v>
      </c>
      <c r="M46" s="5">
        <v>32.474832066612841</v>
      </c>
      <c r="N46" s="5">
        <v>58.987394803700006</v>
      </c>
      <c r="O46" s="5">
        <v>40.439402319999992</v>
      </c>
      <c r="P46" s="5">
        <v>12.164666669999999</v>
      </c>
      <c r="Q46" s="5">
        <v>11.19550081333333</v>
      </c>
    </row>
    <row r="47" spans="1:17">
      <c r="A47" s="2">
        <v>41548</v>
      </c>
      <c r="B47" s="3">
        <v>0.16269972919354841</v>
      </c>
      <c r="C47" s="3">
        <v>0.16269972919354841</v>
      </c>
      <c r="D47" s="3">
        <v>0.16269972919354841</v>
      </c>
      <c r="E47" s="3">
        <v>0.11410867945161292</v>
      </c>
      <c r="F47" s="4">
        <v>380.7765225</v>
      </c>
      <c r="G47" s="5">
        <v>14.016691261</v>
      </c>
      <c r="H47" s="4">
        <v>351.20214978138631</v>
      </c>
      <c r="I47" s="5">
        <v>13.750229629255562</v>
      </c>
      <c r="J47" s="4">
        <v>873.79162399394681</v>
      </c>
      <c r="K47" s="5">
        <v>32.164975574512368</v>
      </c>
      <c r="L47" s="4">
        <v>250.28603561745783</v>
      </c>
      <c r="M47" s="5">
        <v>24.78439734854037</v>
      </c>
      <c r="N47" s="5">
        <v>67.810076513200002</v>
      </c>
      <c r="O47" s="5">
        <v>35.122902307400011</v>
      </c>
      <c r="P47" s="5">
        <v>7.8212902938709679</v>
      </c>
      <c r="Q47" s="5">
        <v>6.4139914903225801</v>
      </c>
    </row>
    <row r="48" spans="1:17">
      <c r="A48" s="2">
        <v>41579</v>
      </c>
      <c r="B48" s="3">
        <v>0.79166134766666674</v>
      </c>
      <c r="C48" s="3">
        <v>0.79166134766666674</v>
      </c>
      <c r="D48" s="3">
        <v>0.79166134766666674</v>
      </c>
      <c r="E48" s="3">
        <v>0.54689617766666665</v>
      </c>
      <c r="F48" s="4">
        <v>2575.739392</v>
      </c>
      <c r="G48" s="5">
        <v>61.74525993999999</v>
      </c>
      <c r="H48" s="4">
        <v>1939.9250204933664</v>
      </c>
      <c r="I48" s="5">
        <v>65.61869477527685</v>
      </c>
      <c r="J48" s="4">
        <v>1255.2419874988113</v>
      </c>
      <c r="K48" s="5">
        <v>30.090483537391304</v>
      </c>
      <c r="L48" s="4">
        <v>360.38149414575702</v>
      </c>
      <c r="M48" s="5">
        <v>12.596992439826471</v>
      </c>
      <c r="N48" s="5">
        <v>74.325581930300018</v>
      </c>
      <c r="O48" s="5">
        <v>23.099571906199998</v>
      </c>
      <c r="P48" s="5">
        <v>3.4069999966666655</v>
      </c>
      <c r="Q48" s="5">
        <v>2.5698684663333333</v>
      </c>
    </row>
    <row r="49" spans="1:17">
      <c r="A49" s="2">
        <v>41609</v>
      </c>
      <c r="B49" s="6">
        <v>1.0284425735483871</v>
      </c>
      <c r="C49" s="6">
        <v>1.0284425735483871</v>
      </c>
      <c r="D49" s="6">
        <v>1.0284425735483871</v>
      </c>
      <c r="E49" s="3">
        <v>0.76213362806451601</v>
      </c>
      <c r="F49" s="4">
        <v>5813.2287110000025</v>
      </c>
      <c r="G49" s="4">
        <v>269.89134339999998</v>
      </c>
      <c r="H49" s="4">
        <v>4745.4744796428477</v>
      </c>
      <c r="I49" s="4">
        <v>277.15622477393026</v>
      </c>
      <c r="J49" s="4">
        <v>2110.3860067299797</v>
      </c>
      <c r="K49" s="5">
        <v>97.979101314121152</v>
      </c>
      <c r="L49" s="4">
        <v>1377.5662112702289</v>
      </c>
      <c r="M49" s="5">
        <v>35.120759559696353</v>
      </c>
      <c r="N49" s="5">
        <v>63.187922366000016</v>
      </c>
      <c r="O49" s="5">
        <v>19.629068498399999</v>
      </c>
      <c r="P49" s="5">
        <v>2.5758064529032256</v>
      </c>
      <c r="Q49" s="5">
        <v>1.6101941361935483</v>
      </c>
    </row>
    <row r="50" spans="1:17">
      <c r="A50" s="2">
        <v>41640</v>
      </c>
      <c r="B50" s="6">
        <v>1.0556047851612904</v>
      </c>
      <c r="C50" s="6">
        <v>1.0556047851612904</v>
      </c>
      <c r="D50" s="6">
        <v>1.0556047851612904</v>
      </c>
      <c r="E50" s="3">
        <v>0.76359740064516124</v>
      </c>
      <c r="F50" s="4">
        <v>5995.6846269999969</v>
      </c>
      <c r="G50" s="4">
        <v>296.00762340000006</v>
      </c>
      <c r="H50" s="4">
        <v>4736.0604447695096</v>
      </c>
      <c r="I50" s="4">
        <v>277.9873644530195</v>
      </c>
      <c r="J50" s="4">
        <v>2120.6156990204513</v>
      </c>
      <c r="K50" s="4">
        <v>104.69503574062182</v>
      </c>
      <c r="L50" s="4">
        <v>1408.9512030065403</v>
      </c>
      <c r="M50" s="5">
        <v>34.431110602792742</v>
      </c>
      <c r="N50" s="5">
        <v>56.06292642590001</v>
      </c>
      <c r="O50" s="5">
        <v>13.125992069490003</v>
      </c>
      <c r="P50" s="5">
        <v>-2.281935467419355</v>
      </c>
      <c r="Q50" s="5">
        <v>0.79951522037096789</v>
      </c>
    </row>
    <row r="51" spans="1:17">
      <c r="A51" s="2">
        <v>41671</v>
      </c>
      <c r="B51" s="6">
        <v>1.597982439642857</v>
      </c>
      <c r="C51" s="6">
        <v>1.597982439642857</v>
      </c>
      <c r="D51" s="6">
        <v>1.597982439642857</v>
      </c>
      <c r="E51" s="6">
        <v>1.1860015835714288</v>
      </c>
      <c r="F51" s="4">
        <v>8270.5853420000003</v>
      </c>
      <c r="G51" s="4">
        <v>458.92045290000004</v>
      </c>
      <c r="H51" s="4">
        <v>6717.982598010236</v>
      </c>
      <c r="I51" s="4">
        <v>423.05739216031719</v>
      </c>
      <c r="J51" s="4">
        <v>2139.4022983864465</v>
      </c>
      <c r="K51" s="4">
        <v>118.71172698806733</v>
      </c>
      <c r="L51" s="4">
        <v>1500.0662889503853</v>
      </c>
      <c r="M51" s="5">
        <v>35.98900167656705</v>
      </c>
      <c r="N51" s="5">
        <v>50.912709124900012</v>
      </c>
      <c r="O51" s="5">
        <v>14.011130142299999</v>
      </c>
      <c r="P51" s="5">
        <v>1.7382142835714287</v>
      </c>
      <c r="Q51" s="5">
        <v>0.56488224571428558</v>
      </c>
    </row>
    <row r="52" spans="1:17">
      <c r="A52" s="2">
        <v>41699</v>
      </c>
      <c r="B52" s="6">
        <v>1.3132873474193552</v>
      </c>
      <c r="C52" s="6">
        <v>1.3132873474193552</v>
      </c>
      <c r="D52" s="6">
        <v>1.3132873474193552</v>
      </c>
      <c r="E52" s="3">
        <v>0.94756392967741943</v>
      </c>
      <c r="F52" s="4">
        <v>6866.0590579999989</v>
      </c>
      <c r="G52" s="4">
        <v>363.19468709999995</v>
      </c>
      <c r="H52" s="4">
        <v>5501.9675418833685</v>
      </c>
      <c r="I52" s="4">
        <v>338.12227739772891</v>
      </c>
      <c r="J52" s="4">
        <v>1951.9662912191134</v>
      </c>
      <c r="K52" s="4">
        <v>103.25337891301092</v>
      </c>
      <c r="L52" s="4">
        <v>1363.030715637889</v>
      </c>
      <c r="M52" s="5">
        <v>32.406189359982697</v>
      </c>
      <c r="N52" s="5">
        <v>60.876174170000006</v>
      </c>
      <c r="O52" s="5">
        <v>26.906740118000005</v>
      </c>
      <c r="P52" s="5">
        <v>3.7980645067741934</v>
      </c>
      <c r="Q52" s="5">
        <v>3.1551972535483874</v>
      </c>
    </row>
    <row r="53" spans="1:17">
      <c r="A53" s="2">
        <v>41730</v>
      </c>
      <c r="B53" s="3">
        <v>0.60273122323333328</v>
      </c>
      <c r="C53" s="3">
        <v>0.60273122323333328</v>
      </c>
      <c r="D53" s="3">
        <v>0.60273122323333328</v>
      </c>
      <c r="E53" s="3">
        <v>0.43101906713333332</v>
      </c>
      <c r="F53" s="4">
        <v>2956.1130240000007</v>
      </c>
      <c r="G53" s="4">
        <v>128.74487670000002</v>
      </c>
      <c r="H53" s="4">
        <v>2331.1984473082339</v>
      </c>
      <c r="I53" s="4">
        <v>130.07108441287036</v>
      </c>
      <c r="J53" s="4">
        <v>1892.1794725688057</v>
      </c>
      <c r="K53" s="5">
        <v>82.408356089749375</v>
      </c>
      <c r="L53" s="4">
        <v>1310.265354016273</v>
      </c>
      <c r="M53" s="5">
        <v>30.869692673012548</v>
      </c>
      <c r="N53" s="5">
        <v>46.039089906000001</v>
      </c>
      <c r="O53" s="5">
        <v>38.753011754999996</v>
      </c>
      <c r="P53" s="5">
        <v>6.72066667</v>
      </c>
      <c r="Q53" s="5">
        <v>6.4426518366666672</v>
      </c>
    </row>
    <row r="54" spans="1:17">
      <c r="A54" s="2">
        <v>41760</v>
      </c>
      <c r="B54" s="3">
        <v>0.21423985787096778</v>
      </c>
      <c r="C54" s="3">
        <v>0.21423985787096778</v>
      </c>
      <c r="D54" s="3">
        <v>0.21423985787096778</v>
      </c>
      <c r="E54" s="3">
        <v>0.14744772845161283</v>
      </c>
      <c r="F54" s="4">
        <v>774.4436976999998</v>
      </c>
      <c r="G54" s="5">
        <v>26.793448129999994</v>
      </c>
      <c r="H54" s="4">
        <v>578.64987114405722</v>
      </c>
      <c r="I54" s="5">
        <v>28.470585499080876</v>
      </c>
      <c r="J54" s="4">
        <v>1349.628135034432</v>
      </c>
      <c r="K54" s="5">
        <v>46.69311952965397</v>
      </c>
      <c r="L54" s="4">
        <v>736.23769450860891</v>
      </c>
      <c r="M54" s="5">
        <v>21.759202736073973</v>
      </c>
      <c r="N54" s="5">
        <v>51.22735523499999</v>
      </c>
      <c r="O54" s="5">
        <v>63.102656460000013</v>
      </c>
      <c r="P54" s="5">
        <v>10.737096816129034</v>
      </c>
      <c r="Q54" s="5">
        <v>10.674963480645161</v>
      </c>
    </row>
    <row r="55" spans="1:17">
      <c r="A55" s="2">
        <v>41791</v>
      </c>
      <c r="B55" s="3">
        <v>4.7965459666666661E-2</v>
      </c>
      <c r="C55" s="3">
        <v>4.7965459666666661E-2</v>
      </c>
      <c r="D55" s="3">
        <v>4.7965459666666661E-2</v>
      </c>
      <c r="E55" s="3">
        <v>3.7543840966666665E-2</v>
      </c>
      <c r="F55" s="4">
        <v>131.1633483</v>
      </c>
      <c r="G55" s="6">
        <v>3.8144061840000005</v>
      </c>
      <c r="H55" s="4">
        <v>122.42830595970067</v>
      </c>
      <c r="I55" s="6">
        <v>6.0205494821565075</v>
      </c>
      <c r="J55" s="4">
        <v>1054.9912599190714</v>
      </c>
      <c r="K55" s="5">
        <v>30.680561404389348</v>
      </c>
      <c r="L55" s="4">
        <v>407.99386714040565</v>
      </c>
      <c r="M55" s="5">
        <v>22.530654084396701</v>
      </c>
      <c r="N55" s="5">
        <v>54.9418594021</v>
      </c>
      <c r="O55" s="5">
        <v>64.713397700000002</v>
      </c>
      <c r="P55" s="5">
        <v>13.512000019999999</v>
      </c>
      <c r="Q55" s="5">
        <v>13.574769030000001</v>
      </c>
    </row>
    <row r="56" spans="1:17">
      <c r="A56" s="2">
        <v>41821</v>
      </c>
      <c r="B56" s="3">
        <v>3.8354808677419354E-2</v>
      </c>
      <c r="C56" s="3">
        <v>3.8354808677419354E-2</v>
      </c>
      <c r="D56" s="3">
        <v>3.8354808677419354E-2</v>
      </c>
      <c r="E56" s="3">
        <v>3.3348744451612906E-2</v>
      </c>
      <c r="F56" s="5">
        <v>87.735935700000027</v>
      </c>
      <c r="G56" s="6">
        <v>3.4091218519999993</v>
      </c>
      <c r="H56" s="4">
        <v>100.27457757588719</v>
      </c>
      <c r="I56" s="6">
        <v>5.7989971925780557</v>
      </c>
      <c r="J56" s="4">
        <v>854.04792092012576</v>
      </c>
      <c r="K56" s="5">
        <v>33.185414865804432</v>
      </c>
      <c r="L56" s="4">
        <v>236.23253578209111</v>
      </c>
      <c r="M56" s="5">
        <v>25.848954004323556</v>
      </c>
      <c r="N56" s="5">
        <v>54.432882593999999</v>
      </c>
      <c r="O56" s="5">
        <v>80.922793400000032</v>
      </c>
      <c r="P56" s="5">
        <v>20.078064548387097</v>
      </c>
      <c r="Q56" s="5">
        <v>19.507202645161289</v>
      </c>
    </row>
    <row r="57" spans="1:17">
      <c r="A57" s="2">
        <v>41852</v>
      </c>
      <c r="B57" s="3">
        <v>0.17023474674193545</v>
      </c>
      <c r="C57" s="3">
        <v>0.17023474674193545</v>
      </c>
      <c r="D57" s="3">
        <v>0.17023474674193545</v>
      </c>
      <c r="E57" s="3">
        <v>0.12179122587096773</v>
      </c>
      <c r="F57" s="4">
        <v>393.10823730000004</v>
      </c>
      <c r="G57" s="5">
        <v>15.950455662999998</v>
      </c>
      <c r="H57" s="4">
        <v>369.89112496190745</v>
      </c>
      <c r="I57" s="5">
        <v>17.949900742711527</v>
      </c>
      <c r="J57" s="4">
        <v>862.1612176650541</v>
      </c>
      <c r="K57" s="5">
        <v>34.98238607562827</v>
      </c>
      <c r="L57" s="4">
        <v>204.03868464686022</v>
      </c>
      <c r="M57" s="5">
        <v>20.762661327991836</v>
      </c>
      <c r="N57" s="4">
        <v>121.71611869</v>
      </c>
      <c r="O57" s="5">
        <v>90.36801880000003</v>
      </c>
      <c r="P57" s="5">
        <v>16.846451709677421</v>
      </c>
      <c r="Q57" s="5">
        <v>16.154088032258063</v>
      </c>
    </row>
    <row r="58" spans="1:17">
      <c r="A58" s="2">
        <v>41883</v>
      </c>
      <c r="B58" s="3">
        <v>0.16564114830000001</v>
      </c>
      <c r="C58" s="3">
        <v>0.16564114830000001</v>
      </c>
      <c r="D58" s="3">
        <v>0.16564114830000001</v>
      </c>
      <c r="E58" s="3">
        <v>0.11922895696666667</v>
      </c>
      <c r="F58" s="4">
        <v>499.83168510000002</v>
      </c>
      <c r="G58" s="5">
        <v>25.338311836999999</v>
      </c>
      <c r="H58" s="4">
        <v>418.27305602684862</v>
      </c>
      <c r="I58" s="5">
        <v>31.29112224990271</v>
      </c>
      <c r="J58" s="4">
        <v>1164.1810608635344</v>
      </c>
      <c r="K58" s="5">
        <v>59.016631667074677</v>
      </c>
      <c r="L58" s="4">
        <v>335.68911150481233</v>
      </c>
      <c r="M58" s="5">
        <v>17.953877180141234</v>
      </c>
      <c r="N58" s="5">
        <v>64.116399358099997</v>
      </c>
      <c r="O58" s="5">
        <v>49.721511660000012</v>
      </c>
      <c r="P58" s="5">
        <v>12.508666676666667</v>
      </c>
      <c r="Q58" s="5">
        <v>11.464642286666667</v>
      </c>
    </row>
    <row r="59" spans="1:17">
      <c r="A59" s="2">
        <v>41913</v>
      </c>
      <c r="B59" s="3">
        <v>0.83279225167741922</v>
      </c>
      <c r="C59" s="3">
        <v>0.83279225167741922</v>
      </c>
      <c r="D59" s="3">
        <v>0.83279225167741922</v>
      </c>
      <c r="E59" s="3">
        <v>0.59856931164516125</v>
      </c>
      <c r="F59" s="4">
        <v>3291.2631778999998</v>
      </c>
      <c r="G59" s="4">
        <v>632.78527051000003</v>
      </c>
      <c r="H59" s="4">
        <v>2657.8535392777135</v>
      </c>
      <c r="I59" s="4">
        <v>322.76729204015948</v>
      </c>
      <c r="J59" s="4">
        <v>1475.5382681684871</v>
      </c>
      <c r="K59" s="4">
        <v>283.69013124724279</v>
      </c>
      <c r="L59" s="4">
        <v>648.43496025955415</v>
      </c>
      <c r="M59" s="5">
        <v>20.477491557257913</v>
      </c>
      <c r="N59" s="5">
        <v>95.147428572099997</v>
      </c>
      <c r="O59" s="5">
        <v>46.329463040000007</v>
      </c>
      <c r="P59" s="5">
        <v>8.6519354935483861</v>
      </c>
      <c r="Q59" s="5">
        <v>7.4190788358064514</v>
      </c>
    </row>
    <row r="60" spans="1:17">
      <c r="A60" s="2">
        <v>41944</v>
      </c>
      <c r="B60" s="3">
        <v>0.59843821466666647</v>
      </c>
      <c r="C60" s="3">
        <v>0.59843821466666647</v>
      </c>
      <c r="D60" s="3">
        <v>0.59843821466666647</v>
      </c>
      <c r="E60" s="3">
        <v>0.44072372533333337</v>
      </c>
      <c r="F60" s="4">
        <v>3082.9746259999993</v>
      </c>
      <c r="G60" s="4">
        <v>205.35036930000004</v>
      </c>
      <c r="H60" s="4">
        <v>2518.6132923622176</v>
      </c>
      <c r="I60" s="4">
        <v>173.78826418166065</v>
      </c>
      <c r="J60" s="4">
        <v>1987.5387919468756</v>
      </c>
      <c r="K60" s="4">
        <v>132.38572051572575</v>
      </c>
      <c r="L60" s="4">
        <v>1226.4274362699537</v>
      </c>
      <c r="M60" s="5">
        <v>34.052291021857258</v>
      </c>
      <c r="N60" s="5">
        <v>43.225935575999991</v>
      </c>
      <c r="O60" s="5">
        <v>21.336695985000002</v>
      </c>
      <c r="P60" s="5">
        <v>4.6613333362333345</v>
      </c>
      <c r="Q60" s="5">
        <v>3.3947131766666674</v>
      </c>
    </row>
    <row r="61" spans="1:17">
      <c r="A61" s="2">
        <v>41974</v>
      </c>
      <c r="B61" s="3">
        <v>0.88972747258064511</v>
      </c>
      <c r="C61" s="3">
        <v>0.88972747258064511</v>
      </c>
      <c r="D61" s="3">
        <v>0.88972747258064511</v>
      </c>
      <c r="E61" s="3">
        <v>0.6624321064516131</v>
      </c>
      <c r="F61" s="4">
        <v>5161.337797000001</v>
      </c>
      <c r="G61" s="4">
        <v>448.86366609999993</v>
      </c>
      <c r="H61" s="4">
        <v>4212.2874399109442</v>
      </c>
      <c r="I61" s="4">
        <v>327.54497899792233</v>
      </c>
      <c r="J61" s="4">
        <v>2165.8572283827643</v>
      </c>
      <c r="K61" s="4">
        <v>188.35710038116034</v>
      </c>
      <c r="L61" s="4">
        <v>1415.0079214630084</v>
      </c>
      <c r="M61" s="5">
        <v>36.0950948737079</v>
      </c>
      <c r="N61" s="5">
        <v>50.809933325799989</v>
      </c>
      <c r="O61" s="5">
        <v>11.150020465100001</v>
      </c>
      <c r="P61" s="5">
        <v>-0.67709681154838708</v>
      </c>
      <c r="Q61" s="5">
        <v>0.30666188073548389</v>
      </c>
    </row>
    <row r="62" spans="1:17">
      <c r="A62" s="2">
        <v>42005</v>
      </c>
      <c r="B62" s="6">
        <v>1.4592047022580645</v>
      </c>
      <c r="C62" s="6">
        <v>1.4592047022580645</v>
      </c>
      <c r="D62" s="6">
        <v>1.4592047022580645</v>
      </c>
      <c r="E62" s="6">
        <v>1.0975332987096773</v>
      </c>
      <c r="F62" s="4">
        <v>8981.3813300000002</v>
      </c>
      <c r="G62" s="4">
        <v>618.44086840000011</v>
      </c>
      <c r="H62" s="4">
        <v>7380.8484226934706</v>
      </c>
      <c r="I62" s="4">
        <v>514.46672833449691</v>
      </c>
      <c r="J62" s="4">
        <v>2298.0075621543415</v>
      </c>
      <c r="K62" s="4">
        <v>158.23644085630045</v>
      </c>
      <c r="L62" s="4">
        <v>1590.8317549756409</v>
      </c>
      <c r="M62" s="5">
        <v>38.802633510757943</v>
      </c>
      <c r="N62" s="4">
        <v>103.04648860490001</v>
      </c>
      <c r="O62" s="5">
        <v>20.369314628870001</v>
      </c>
      <c r="P62" s="5">
        <v>0.18064516803225808</v>
      </c>
      <c r="Q62" s="5">
        <v>0.16374319608064516</v>
      </c>
    </row>
    <row r="63" spans="1:17">
      <c r="A63" s="2">
        <v>42036</v>
      </c>
      <c r="B63" s="6">
        <v>1.7324532860714286</v>
      </c>
      <c r="C63" s="6">
        <v>1.7324532860714286</v>
      </c>
      <c r="D63" s="6">
        <v>1.7324532860714286</v>
      </c>
      <c r="E63" s="6">
        <v>1.2975362492857143</v>
      </c>
      <c r="F63" s="4">
        <v>9599.5311499999971</v>
      </c>
      <c r="G63" s="4">
        <v>657.4310700000002</v>
      </c>
      <c r="H63" s="4">
        <v>7795.3079893554614</v>
      </c>
      <c r="I63" s="4">
        <v>546.97946914697877</v>
      </c>
      <c r="J63" s="4">
        <v>2290.428243807055</v>
      </c>
      <c r="K63" s="4">
        <v>156.8616915466749</v>
      </c>
      <c r="L63" s="4">
        <v>1664.5642506329311</v>
      </c>
      <c r="M63" s="5">
        <v>40.721637999300796</v>
      </c>
      <c r="N63" s="5">
        <v>40.256751638399997</v>
      </c>
      <c r="O63" s="5">
        <v>10.66244216932</v>
      </c>
      <c r="P63" s="5">
        <v>0.63964285749999994</v>
      </c>
      <c r="Q63" s="5">
        <v>0.55314531923107146</v>
      </c>
    </row>
    <row r="64" spans="1:17">
      <c r="A64" s="2">
        <v>42064</v>
      </c>
      <c r="B64" s="6">
        <v>1.3201263180645164</v>
      </c>
      <c r="C64" s="6">
        <v>1.3201263180645164</v>
      </c>
      <c r="D64" s="6">
        <v>1.3201263180645164</v>
      </c>
      <c r="E64" s="3">
        <v>0.92519613064516126</v>
      </c>
      <c r="F64" s="4">
        <v>5453.0039850000003</v>
      </c>
      <c r="G64" s="4">
        <v>309.20214409999994</v>
      </c>
      <c r="H64" s="4">
        <v>4263.0753939529086</v>
      </c>
      <c r="I64" s="4">
        <v>257.34133791755414</v>
      </c>
      <c r="J64" s="4">
        <v>1542.2147791815835</v>
      </c>
      <c r="K64" s="5">
        <v>87.448334938469714</v>
      </c>
      <c r="L64" s="4">
        <v>988.60937451372854</v>
      </c>
      <c r="M64" s="5">
        <v>22.906451063244798</v>
      </c>
      <c r="N64" s="5">
        <v>57.323457331</v>
      </c>
      <c r="O64" s="5">
        <v>22.849774440999997</v>
      </c>
      <c r="P64" s="5">
        <v>3.1754838461290316</v>
      </c>
      <c r="Q64" s="5">
        <v>2.3069524935483878</v>
      </c>
    </row>
    <row r="65" spans="1:17">
      <c r="A65" s="2">
        <v>42095</v>
      </c>
      <c r="B65" s="3">
        <v>0.62292415709999993</v>
      </c>
      <c r="C65" s="3">
        <v>0.62292415709999993</v>
      </c>
      <c r="D65" s="3">
        <v>0.62292415709999993</v>
      </c>
      <c r="E65" s="3">
        <v>0.43683461493333314</v>
      </c>
      <c r="F65" s="4">
        <v>3062.7633670000005</v>
      </c>
      <c r="G65" s="4">
        <v>190.00869826999997</v>
      </c>
      <c r="H65" s="4">
        <v>2377.9989927681686</v>
      </c>
      <c r="I65" s="4">
        <v>154.97956994899215</v>
      </c>
      <c r="J65" s="4">
        <v>1896.8948066634102</v>
      </c>
      <c r="K65" s="4">
        <v>117.68017314598691</v>
      </c>
      <c r="L65" s="4">
        <v>1358.2175497977021</v>
      </c>
      <c r="M65" s="5">
        <v>33.030921170040628</v>
      </c>
      <c r="N65" s="5">
        <v>16.471285555999998</v>
      </c>
      <c r="O65" s="5">
        <v>34.027330550000002</v>
      </c>
      <c r="P65" s="5">
        <v>6.7403333233333331</v>
      </c>
      <c r="Q65" s="5">
        <v>6.4651379366666664</v>
      </c>
    </row>
    <row r="66" spans="1:17">
      <c r="A66" s="2">
        <v>42125</v>
      </c>
      <c r="B66" s="3">
        <v>0.86189665325806442</v>
      </c>
      <c r="C66" s="3">
        <v>0.86189665325806442</v>
      </c>
      <c r="D66" s="3">
        <v>0.86189665325806442</v>
      </c>
      <c r="E66" s="3">
        <v>0.63895511625806445</v>
      </c>
      <c r="F66" s="4">
        <v>3787.2643593999996</v>
      </c>
      <c r="G66" s="4">
        <v>284.29319684000001</v>
      </c>
      <c r="H66" s="4">
        <v>3180.4463208122847</v>
      </c>
      <c r="I66" s="4">
        <v>236.55068295525024</v>
      </c>
      <c r="J66" s="4">
        <v>1640.5707700296036</v>
      </c>
      <c r="K66" s="4">
        <v>123.15039987083613</v>
      </c>
      <c r="L66" s="4">
        <v>1105.0989761920778</v>
      </c>
      <c r="M66" s="5">
        <v>30.331198712288433</v>
      </c>
      <c r="N66" s="4">
        <v>125.0498645597</v>
      </c>
      <c r="O66" s="5">
        <v>72.746505799999994</v>
      </c>
      <c r="P66" s="5">
        <v>9.7422580322580608</v>
      </c>
      <c r="Q66" s="5">
        <v>9.6860158225806465</v>
      </c>
    </row>
    <row r="67" spans="1:17">
      <c r="A67" s="2">
        <v>42156</v>
      </c>
      <c r="B67" s="3">
        <v>0.34170518553333351</v>
      </c>
      <c r="C67" s="3">
        <v>0.34170518553333351</v>
      </c>
      <c r="D67" s="3">
        <v>0.34170518553333351</v>
      </c>
      <c r="E67" s="3">
        <v>0.2460233674</v>
      </c>
      <c r="F67" s="4">
        <v>1440.4252331999999</v>
      </c>
      <c r="G67" s="5">
        <v>84.097384569999988</v>
      </c>
      <c r="H67" s="4">
        <v>1167.3998381324018</v>
      </c>
      <c r="I67" s="5">
        <v>75.64059673040272</v>
      </c>
      <c r="J67" s="4">
        <v>1626.3130118469305</v>
      </c>
      <c r="K67" s="5">
        <v>94.950203220178253</v>
      </c>
      <c r="L67" s="4">
        <v>1051.7800710386109</v>
      </c>
      <c r="M67" s="5">
        <v>28.86671269218856</v>
      </c>
      <c r="N67" s="5">
        <v>59.895327074900003</v>
      </c>
      <c r="O67" s="5">
        <v>81.531751900000017</v>
      </c>
      <c r="P67" s="5">
        <v>13.942666699999998</v>
      </c>
      <c r="Q67" s="5">
        <v>13.891753799999998</v>
      </c>
    </row>
    <row r="68" spans="1:17">
      <c r="A68" s="2">
        <v>42186</v>
      </c>
      <c r="B68" s="3">
        <v>0.27601104561290318</v>
      </c>
      <c r="C68" s="3">
        <v>0.27601104561290318</v>
      </c>
      <c r="D68" s="3">
        <v>0.27601104561290318</v>
      </c>
      <c r="E68" s="3">
        <v>0.20164252577419353</v>
      </c>
      <c r="F68" s="4">
        <v>722.99787540000011</v>
      </c>
      <c r="G68" s="5">
        <v>25.827754309999996</v>
      </c>
      <c r="H68" s="4">
        <v>585.89674089880623</v>
      </c>
      <c r="I68" s="5">
        <v>28.680899391251202</v>
      </c>
      <c r="J68" s="4">
        <v>977.99154862923319</v>
      </c>
      <c r="K68" s="5">
        <v>34.936928976380337</v>
      </c>
      <c r="L68" s="4">
        <v>372.03181508239567</v>
      </c>
      <c r="M68" s="5">
        <v>16.303163627297792</v>
      </c>
      <c r="N68" s="4">
        <v>136.43267368599999</v>
      </c>
      <c r="O68" s="4">
        <v>104.54517179999999</v>
      </c>
      <c r="P68" s="5">
        <v>16.640322645161294</v>
      </c>
      <c r="Q68" s="5">
        <v>16.391421935483869</v>
      </c>
    </row>
    <row r="69" spans="1:17">
      <c r="A69" s="2">
        <v>42217</v>
      </c>
      <c r="B69" s="3">
        <v>0.11945896229032255</v>
      </c>
      <c r="C69" s="3">
        <v>0.11945896229032255</v>
      </c>
      <c r="D69" s="3">
        <v>0.11945896229032255</v>
      </c>
      <c r="E69" s="3">
        <v>8.4610215774193587E-2</v>
      </c>
      <c r="F69" s="4">
        <v>345.38482279999988</v>
      </c>
      <c r="G69" s="5">
        <v>14.493673593000002</v>
      </c>
      <c r="H69" s="4">
        <v>296.98695588803002</v>
      </c>
      <c r="I69" s="5">
        <v>15.895113643302178</v>
      </c>
      <c r="J69" s="4">
        <v>1079.4661928784674</v>
      </c>
      <c r="K69" s="5">
        <v>45.298547572962299</v>
      </c>
      <c r="L69" s="4">
        <v>436.44423264436318</v>
      </c>
      <c r="M69" s="5">
        <v>16.379334622831326</v>
      </c>
      <c r="N69" s="5">
        <v>14.746711532999999</v>
      </c>
      <c r="O69" s="5">
        <v>64.867668800000004</v>
      </c>
      <c r="P69" s="5">
        <v>17.061290322580639</v>
      </c>
      <c r="Q69" s="5">
        <v>16.28915848387097</v>
      </c>
    </row>
    <row r="70" spans="1:17">
      <c r="A70" s="2">
        <v>42248</v>
      </c>
      <c r="B70" s="3">
        <v>0.95142903406666668</v>
      </c>
      <c r="C70" s="3">
        <v>0.95142903406666668</v>
      </c>
      <c r="D70" s="3">
        <v>0.95142903406666668</v>
      </c>
      <c r="E70" s="3">
        <v>0.71222144976666679</v>
      </c>
      <c r="F70" s="4">
        <v>3871.6253362000002</v>
      </c>
      <c r="G70" s="4">
        <v>324.27781510999995</v>
      </c>
      <c r="H70" s="4">
        <v>3358.9435466062259</v>
      </c>
      <c r="I70" s="4">
        <v>255.36608370732651</v>
      </c>
      <c r="J70" s="4">
        <v>1569.9358313927162</v>
      </c>
      <c r="K70" s="4">
        <v>131.49396384599495</v>
      </c>
      <c r="L70" s="4">
        <v>925.30989518457341</v>
      </c>
      <c r="M70" s="5">
        <v>27.51660642008915</v>
      </c>
      <c r="N70" s="4">
        <v>152.92658792089998</v>
      </c>
      <c r="O70" s="5">
        <v>75.723487599999999</v>
      </c>
      <c r="P70" s="5">
        <v>12.680333336666667</v>
      </c>
      <c r="Q70" s="5">
        <v>11.910426740000002</v>
      </c>
    </row>
    <row r="71" spans="1:17">
      <c r="A71" s="2">
        <v>42278</v>
      </c>
      <c r="B71" s="3">
        <v>8.5185221935483835E-2</v>
      </c>
      <c r="C71" s="3">
        <v>8.5185221935483835E-2</v>
      </c>
      <c r="D71" s="3">
        <v>8.5185221935483835E-2</v>
      </c>
      <c r="E71" s="3">
        <v>6.1480715612903213E-2</v>
      </c>
      <c r="F71" s="4">
        <v>399.46959459999994</v>
      </c>
      <c r="G71" s="5">
        <v>14.469940340000001</v>
      </c>
      <c r="H71" s="4">
        <v>308.30820220213661</v>
      </c>
      <c r="I71" s="5">
        <v>14.876673195537309</v>
      </c>
      <c r="J71" s="4">
        <v>1750.8301163210783</v>
      </c>
      <c r="K71" s="5">
        <v>63.420114050595807</v>
      </c>
      <c r="L71" s="4">
        <v>1068.821484114284</v>
      </c>
      <c r="M71" s="5">
        <v>33.078968175294285</v>
      </c>
      <c r="N71" s="6">
        <v>2.8904432900000003</v>
      </c>
      <c r="O71" s="5">
        <v>20.977954430000004</v>
      </c>
      <c r="P71" s="5">
        <v>6.5254838548387095</v>
      </c>
      <c r="Q71" s="5">
        <v>5.3499892577419343</v>
      </c>
    </row>
    <row r="72" spans="1:17">
      <c r="A72" s="2">
        <v>42309</v>
      </c>
      <c r="B72" s="3">
        <v>0.5722921415333333</v>
      </c>
      <c r="C72" s="3">
        <v>0.5722921415333333</v>
      </c>
      <c r="D72" s="3">
        <v>0.5722921415333333</v>
      </c>
      <c r="E72" s="3">
        <v>0.4339404416999999</v>
      </c>
      <c r="F72" s="4">
        <v>2666.4709050000006</v>
      </c>
      <c r="G72" s="4">
        <v>149.16505793999997</v>
      </c>
      <c r="H72" s="4">
        <v>2314.8899013306373</v>
      </c>
      <c r="I72" s="4">
        <v>148.24168473851185</v>
      </c>
      <c r="J72" s="4">
        <v>1797.5627043734401</v>
      </c>
      <c r="K72" s="4">
        <v>100.55746273629207</v>
      </c>
      <c r="L72" s="4">
        <v>1112.6081209472954</v>
      </c>
      <c r="M72" s="5">
        <v>31.945756075021539</v>
      </c>
      <c r="N72" s="5">
        <v>83.731992694999988</v>
      </c>
      <c r="O72" s="5">
        <v>26.518855040000005</v>
      </c>
      <c r="P72" s="5">
        <v>4.0803333430000004</v>
      </c>
      <c r="Q72" s="5">
        <v>3.2350309419999994</v>
      </c>
    </row>
    <row r="73" spans="1:17">
      <c r="A73" s="2">
        <v>42339</v>
      </c>
      <c r="B73" s="6">
        <v>1.0675997251612901</v>
      </c>
      <c r="C73" s="6">
        <v>1.0675997251612901</v>
      </c>
      <c r="D73" s="6">
        <v>1.0675997251612901</v>
      </c>
      <c r="E73" s="3">
        <v>0.77259773064516157</v>
      </c>
      <c r="F73" s="4">
        <v>6109.4302960000023</v>
      </c>
      <c r="G73" s="4">
        <v>439.54340540000004</v>
      </c>
      <c r="H73" s="4">
        <v>4826.4421534510657</v>
      </c>
      <c r="I73" s="4">
        <v>336.90473280064901</v>
      </c>
      <c r="J73" s="4">
        <v>2136.5683944598604</v>
      </c>
      <c r="K73" s="4">
        <v>153.71556912619789</v>
      </c>
      <c r="L73" s="4">
        <v>1425.3848169898642</v>
      </c>
      <c r="M73" s="5">
        <v>36.072417150429132</v>
      </c>
      <c r="N73" s="5">
        <v>38.722489936999992</v>
      </c>
      <c r="O73" s="5">
        <v>17.581143661630001</v>
      </c>
      <c r="P73" s="5">
        <v>2.7629032121935477</v>
      </c>
      <c r="Q73" s="5">
        <v>2.2749416923870966</v>
      </c>
    </row>
    <row r="74" spans="1:17">
      <c r="A74" s="2">
        <v>42370</v>
      </c>
      <c r="B74" s="3">
        <v>0.57993105322580651</v>
      </c>
      <c r="C74" s="3">
        <v>0.57993105322580651</v>
      </c>
      <c r="D74" s="3">
        <v>0.57993105322580651</v>
      </c>
      <c r="E74" s="3">
        <v>0.43913890096774189</v>
      </c>
      <c r="F74" s="4">
        <v>3243.4244119999998</v>
      </c>
      <c r="G74" s="4">
        <v>230.54604538000001</v>
      </c>
      <c r="H74" s="4">
        <v>2715.6050461632885</v>
      </c>
      <c r="I74" s="4">
        <v>193.77506617383978</v>
      </c>
      <c r="J74" s="4">
        <v>2088.1032012469805</v>
      </c>
      <c r="K74" s="4">
        <v>148.4245895619602</v>
      </c>
      <c r="L74" s="4">
        <v>1414.7617305587826</v>
      </c>
      <c r="M74" s="5">
        <v>35.133303173933307</v>
      </c>
      <c r="N74" s="5">
        <v>41.997198690000005</v>
      </c>
      <c r="O74" s="6">
        <v>9.3451845069999973</v>
      </c>
      <c r="P74" s="5">
        <v>-5.3516129690322582</v>
      </c>
      <c r="Q74" s="5">
        <v>6.1893720651612902E-2</v>
      </c>
    </row>
    <row r="75" spans="1:17">
      <c r="A75" s="2">
        <v>42401</v>
      </c>
      <c r="B75" s="6">
        <v>1.2306068786206901</v>
      </c>
      <c r="C75" s="6">
        <v>1.2306068786206901</v>
      </c>
      <c r="D75" s="6">
        <v>1.2306068786206901</v>
      </c>
      <c r="E75" s="3">
        <v>0.88602889068965529</v>
      </c>
      <c r="F75" s="4">
        <v>6493.0698570000004</v>
      </c>
      <c r="G75" s="4">
        <v>400.95215619999999</v>
      </c>
      <c r="H75" s="4">
        <v>5134.0104943189208</v>
      </c>
      <c r="I75" s="4">
        <v>332.73432412664999</v>
      </c>
      <c r="J75" s="4">
        <v>2105.8089597914977</v>
      </c>
      <c r="K75" s="4">
        <v>130.03535794212323</v>
      </c>
      <c r="L75" s="4">
        <v>1458.6530579431901</v>
      </c>
      <c r="M75" s="5">
        <v>34.768400250308062</v>
      </c>
      <c r="N75" s="5">
        <v>39.852258558999985</v>
      </c>
      <c r="O75" s="6">
        <v>9.2585874844999978</v>
      </c>
      <c r="P75" s="5">
        <v>-0.62103448206896561</v>
      </c>
      <c r="Q75" s="5">
        <v>0.16052070114827582</v>
      </c>
    </row>
    <row r="76" spans="1:17">
      <c r="A76" s="2">
        <v>42430</v>
      </c>
      <c r="B76" s="3">
        <v>0.66659785161290319</v>
      </c>
      <c r="C76" s="3">
        <v>0.66659785161290319</v>
      </c>
      <c r="D76" s="3">
        <v>0.66659785161290319</v>
      </c>
      <c r="E76" s="3">
        <v>0.48042367161290317</v>
      </c>
      <c r="F76" s="4">
        <v>3719.607958000001</v>
      </c>
      <c r="G76" s="4">
        <v>190.45878160000007</v>
      </c>
      <c r="H76" s="4">
        <v>2904.1310245713144</v>
      </c>
      <c r="I76" s="4">
        <v>172.52267456130281</v>
      </c>
      <c r="J76" s="4">
        <v>2083.3287423556367</v>
      </c>
      <c r="K76" s="4">
        <v>106.67475156114565</v>
      </c>
      <c r="L76" s="4">
        <v>1453.8906824990922</v>
      </c>
      <c r="M76" s="5">
        <v>33.342969224270433</v>
      </c>
      <c r="N76" s="5">
        <v>24.338476840000002</v>
      </c>
      <c r="O76" s="5">
        <v>14.016095496600002</v>
      </c>
      <c r="P76" s="5">
        <v>2.3945161261290324</v>
      </c>
      <c r="Q76" s="5">
        <v>1.6015610225612902</v>
      </c>
    </row>
    <row r="77" spans="1:17">
      <c r="A77" s="2">
        <v>42461</v>
      </c>
      <c r="B77" s="3">
        <v>0.32457860199999999</v>
      </c>
      <c r="C77" s="3">
        <v>0.32457860199999999</v>
      </c>
      <c r="D77" s="3">
        <v>0.32457860199999999</v>
      </c>
      <c r="E77" s="3">
        <v>0.22921391800000002</v>
      </c>
      <c r="F77" s="4">
        <v>1264.7164119999998</v>
      </c>
      <c r="G77" s="5">
        <v>42.283450459999997</v>
      </c>
      <c r="H77" s="4">
        <v>974.184844860152</v>
      </c>
      <c r="I77" s="5">
        <v>48.12947188844678</v>
      </c>
      <c r="J77" s="4">
        <v>1503.2743526300274</v>
      </c>
      <c r="K77" s="5">
        <v>50.259193715283409</v>
      </c>
      <c r="L77" s="4">
        <v>861.2242313643593</v>
      </c>
      <c r="M77" s="5">
        <v>21.038839635840048</v>
      </c>
      <c r="N77" s="5">
        <v>46.109435107700008</v>
      </c>
      <c r="O77" s="5">
        <v>33.40837982</v>
      </c>
      <c r="P77" s="5">
        <v>5.4843333333333328</v>
      </c>
      <c r="Q77" s="5">
        <v>5.4322549933333324</v>
      </c>
    </row>
    <row r="78" spans="1:17">
      <c r="A78" s="2">
        <v>42491</v>
      </c>
      <c r="B78" s="3">
        <v>0.11942677409677416</v>
      </c>
      <c r="C78" s="3">
        <v>0.11942677409677416</v>
      </c>
      <c r="D78" s="3">
        <v>0.11942677409677416</v>
      </c>
      <c r="E78" s="3">
        <v>8.617565312903229E-2</v>
      </c>
      <c r="F78" s="4">
        <v>542.55668619999994</v>
      </c>
      <c r="G78" s="5">
        <v>23.754277336000008</v>
      </c>
      <c r="H78" s="4">
        <v>449.58853090901033</v>
      </c>
      <c r="I78" s="5">
        <v>25.546112435543733</v>
      </c>
      <c r="J78" s="4">
        <v>1696.164462138395</v>
      </c>
      <c r="K78" s="5">
        <v>74.261662495695433</v>
      </c>
      <c r="L78" s="4">
        <v>1069.9924760691692</v>
      </c>
      <c r="M78" s="5">
        <v>30.763620677019134</v>
      </c>
      <c r="N78" s="5">
        <v>25.555625813999999</v>
      </c>
      <c r="O78" s="5">
        <v>61.354815940000002</v>
      </c>
      <c r="P78" s="5">
        <v>12.326774238709673</v>
      </c>
      <c r="Q78" s="5">
        <v>12.154474164516127</v>
      </c>
    </row>
    <row r="79" spans="1:17">
      <c r="A79" s="2">
        <v>42522</v>
      </c>
      <c r="B79" s="3">
        <v>9.2730671566666673E-2</v>
      </c>
      <c r="C79" s="3">
        <v>9.2730671566666673E-2</v>
      </c>
      <c r="D79" s="3">
        <v>9.2730671566666673E-2</v>
      </c>
      <c r="E79" s="3">
        <v>7.0871108299999999E-2</v>
      </c>
      <c r="F79" s="4">
        <v>294.68385380000007</v>
      </c>
      <c r="G79" s="5">
        <v>11.380136681999998</v>
      </c>
      <c r="H79" s="4">
        <v>259.63677167355939</v>
      </c>
      <c r="I79" s="5">
        <v>14.442948108950283</v>
      </c>
      <c r="J79" s="4">
        <v>1226.0210172452973</v>
      </c>
      <c r="K79" s="5">
        <v>47.346626655037774</v>
      </c>
      <c r="L79" s="4">
        <v>648.05730288877612</v>
      </c>
      <c r="M79" s="5">
        <v>29.491465396313853</v>
      </c>
      <c r="N79" s="5">
        <v>80.854164049999994</v>
      </c>
      <c r="O79" s="5">
        <v>79.174473300000002</v>
      </c>
      <c r="P79" s="5">
        <v>15.612000023333335</v>
      </c>
      <c r="Q79" s="5">
        <v>15.450072216666667</v>
      </c>
    </row>
    <row r="80" spans="1:17">
      <c r="A80" s="2">
        <v>42552</v>
      </c>
      <c r="B80" s="3">
        <v>5.4373856580645162E-2</v>
      </c>
      <c r="C80" s="3">
        <v>5.4373856580645162E-2</v>
      </c>
      <c r="D80" s="3">
        <v>5.4373856580645162E-2</v>
      </c>
      <c r="E80" s="3">
        <v>4.3642345064516128E-2</v>
      </c>
      <c r="F80" s="4">
        <v>132.5047562</v>
      </c>
      <c r="G80" s="6">
        <v>5.1857148640000013</v>
      </c>
      <c r="H80" s="4">
        <v>134.47397562596964</v>
      </c>
      <c r="I80" s="6">
        <v>7.489770393600236</v>
      </c>
      <c r="J80" s="4">
        <v>909.84177229317402</v>
      </c>
      <c r="K80" s="5">
        <v>35.607627424187541</v>
      </c>
      <c r="L80" s="4">
        <v>351.13315782899684</v>
      </c>
      <c r="M80" s="5">
        <v>25.707589338579563</v>
      </c>
      <c r="N80" s="5">
        <v>65.197178172999998</v>
      </c>
      <c r="O80" s="5">
        <v>83.73495410000001</v>
      </c>
      <c r="P80" s="5">
        <v>17.92032251612903</v>
      </c>
      <c r="Q80" s="5">
        <v>17.553101451612903</v>
      </c>
    </row>
    <row r="81" spans="1:17">
      <c r="A81" s="2">
        <v>42583</v>
      </c>
      <c r="B81" s="3">
        <v>6.9871674774193537E-2</v>
      </c>
      <c r="C81" s="3">
        <v>6.9871674774193537E-2</v>
      </c>
      <c r="D81" s="3">
        <v>6.9871674774193537E-2</v>
      </c>
      <c r="E81" s="3">
        <v>5.2717532387096783E-2</v>
      </c>
      <c r="F81" s="4">
        <v>133.63817</v>
      </c>
      <c r="G81" s="6">
        <v>6.8438074169999998</v>
      </c>
      <c r="H81" s="4">
        <v>144.08701632643795</v>
      </c>
      <c r="I81" s="6">
        <v>9.2408018618178041</v>
      </c>
      <c r="J81" s="4">
        <v>714.09159047200808</v>
      </c>
      <c r="K81" s="5">
        <v>36.569681106028554</v>
      </c>
      <c r="L81" s="4">
        <v>176.76920970990727</v>
      </c>
      <c r="M81" s="5">
        <v>26.43880282887179</v>
      </c>
      <c r="N81" s="5">
        <v>85.483275767999999</v>
      </c>
      <c r="O81" s="5">
        <v>69.896412900000001</v>
      </c>
      <c r="P81" s="5">
        <v>15.970000096774191</v>
      </c>
      <c r="Q81" s="5">
        <v>15.223309612903225</v>
      </c>
    </row>
    <row r="82" spans="1:17">
      <c r="A82" s="2">
        <v>42614</v>
      </c>
      <c r="B82" s="3">
        <v>4.5186724766666651E-2</v>
      </c>
      <c r="C82" s="3">
        <v>4.5186724766666651E-2</v>
      </c>
      <c r="D82" s="3">
        <v>4.5186724766666651E-2</v>
      </c>
      <c r="E82" s="3">
        <v>3.4708402066666665E-2</v>
      </c>
      <c r="F82" s="5">
        <v>93.43627029999999</v>
      </c>
      <c r="G82" s="6">
        <v>4.1336161230000013</v>
      </c>
      <c r="H82" s="4">
        <v>105.92674500972433</v>
      </c>
      <c r="I82" s="6">
        <v>5.5485160327921834</v>
      </c>
      <c r="J82" s="4">
        <v>797.75515155417293</v>
      </c>
      <c r="K82" s="5">
        <v>35.292649658060519</v>
      </c>
      <c r="L82" s="4">
        <v>198.40445800664</v>
      </c>
      <c r="M82" s="5">
        <v>25.803735000578328</v>
      </c>
      <c r="N82" s="5">
        <v>25.732916401299999</v>
      </c>
      <c r="O82" s="5">
        <v>42.178682039999991</v>
      </c>
      <c r="P82" s="5">
        <v>14.120666733333332</v>
      </c>
      <c r="Q82" s="5">
        <v>12.920584286666664</v>
      </c>
    </row>
    <row r="83" spans="1:17">
      <c r="A83" s="2">
        <v>42644</v>
      </c>
      <c r="B83" s="3">
        <v>3.9133095903225813E-2</v>
      </c>
      <c r="C83" s="3">
        <v>3.9133095903225813E-2</v>
      </c>
      <c r="D83" s="3">
        <v>3.9133095903225813E-2</v>
      </c>
      <c r="E83" s="3">
        <v>2.8750154999999999E-2</v>
      </c>
      <c r="F83" s="5">
        <v>82.167658800000012</v>
      </c>
      <c r="G83" s="6">
        <v>3.4666380579999996</v>
      </c>
      <c r="H83" s="5">
        <v>89.106439329237944</v>
      </c>
      <c r="I83" s="6">
        <v>4.8034042109654278</v>
      </c>
      <c r="J83" s="4">
        <v>783.93716204397401</v>
      </c>
      <c r="K83" s="5">
        <v>33.074161288505216</v>
      </c>
      <c r="L83" s="4">
        <v>155.50851617955684</v>
      </c>
      <c r="M83" s="5">
        <v>28.121141394026676</v>
      </c>
      <c r="N83" s="5">
        <v>40.198481610000002</v>
      </c>
      <c r="O83" s="5">
        <v>23.566127260000002</v>
      </c>
      <c r="P83" s="5">
        <v>6.5996774677419356</v>
      </c>
      <c r="Q83" s="5">
        <v>5.495562390322581</v>
      </c>
    </row>
    <row r="84" spans="1:17">
      <c r="A84" s="2">
        <v>42675</v>
      </c>
      <c r="B84" s="6">
        <v>1.2108028086666667</v>
      </c>
      <c r="C84" s="6">
        <v>1.2108028086666667</v>
      </c>
      <c r="D84" s="6">
        <v>1.2108028086666667</v>
      </c>
      <c r="E84" s="3">
        <v>0.88276963833333333</v>
      </c>
      <c r="F84" s="4">
        <v>5376.894131</v>
      </c>
      <c r="G84" s="4">
        <v>470.58037959000006</v>
      </c>
      <c r="H84" s="4">
        <v>4332.960217520812</v>
      </c>
      <c r="I84" s="4">
        <v>322.23694181766314</v>
      </c>
      <c r="J84" s="4">
        <v>1713.2590626408823</v>
      </c>
      <c r="K84" s="4">
        <v>149.9427171832487</v>
      </c>
      <c r="L84" s="4">
        <v>846.29264895837252</v>
      </c>
      <c r="M84" s="5">
        <v>24.518508547069072</v>
      </c>
      <c r="N84" s="4">
        <v>115.90969307000002</v>
      </c>
      <c r="O84" s="5">
        <v>24.778644186000005</v>
      </c>
      <c r="P84" s="5">
        <v>1.2356666676666666</v>
      </c>
      <c r="Q84" s="5">
        <v>1.2046762661999999</v>
      </c>
    </row>
    <row r="85" spans="1:17">
      <c r="A85" s="2">
        <v>42705</v>
      </c>
      <c r="B85" s="3">
        <v>0.82632111612903236</v>
      </c>
      <c r="C85" s="3">
        <v>0.82632111612903236</v>
      </c>
      <c r="D85" s="3">
        <v>0.82632111612903236</v>
      </c>
      <c r="E85" s="3">
        <v>0.60265727645161293</v>
      </c>
      <c r="F85" s="4">
        <v>4733.4524569999994</v>
      </c>
      <c r="G85" s="4">
        <v>264.18097319999998</v>
      </c>
      <c r="H85" s="4">
        <v>3772.4088826184475</v>
      </c>
      <c r="I85" s="4">
        <v>231.22325425571185</v>
      </c>
      <c r="J85" s="4">
        <v>2138.7189128587388</v>
      </c>
      <c r="K85" s="4">
        <v>119.36506153195081</v>
      </c>
      <c r="L85" s="4">
        <v>1334.250723807435</v>
      </c>
      <c r="M85" s="5">
        <v>32.809982926098044</v>
      </c>
      <c r="N85" s="5">
        <v>30.943464575700006</v>
      </c>
      <c r="O85" s="5">
        <v>11.056446615599999</v>
      </c>
      <c r="P85" s="5">
        <v>1.1890322538387097</v>
      </c>
      <c r="Q85" s="5">
        <v>0.87041279729032273</v>
      </c>
    </row>
    <row r="86" spans="1:17">
      <c r="A86" s="2">
        <v>42736</v>
      </c>
      <c r="B86" s="3">
        <v>0.66394202548387093</v>
      </c>
      <c r="C86" s="3">
        <v>0.66394202548387093</v>
      </c>
      <c r="D86" s="3">
        <v>0.66394202548387093</v>
      </c>
      <c r="E86" s="3">
        <v>0.4991643241935485</v>
      </c>
      <c r="F86" s="4">
        <v>4185.2292300000008</v>
      </c>
      <c r="G86" s="4">
        <v>231.32346820000001</v>
      </c>
      <c r="H86" s="4">
        <v>3426.0178169873125</v>
      </c>
      <c r="I86" s="4">
        <v>215.556965290123</v>
      </c>
      <c r="J86" s="4">
        <v>2353.4969166306723</v>
      </c>
      <c r="K86" s="4">
        <v>130.0810635461095</v>
      </c>
      <c r="L86" s="4">
        <v>1585.3970831398817</v>
      </c>
      <c r="M86" s="5">
        <v>38.210479102534471</v>
      </c>
      <c r="N86" s="5">
        <v>34.769622297300003</v>
      </c>
      <c r="O86" s="6">
        <v>7.8285895692000009</v>
      </c>
      <c r="P86" s="5">
        <v>-1.3103225913548384</v>
      </c>
      <c r="Q86" s="5">
        <v>0.18445929041935483</v>
      </c>
    </row>
    <row r="87" spans="1:17">
      <c r="A87" s="2">
        <v>42767</v>
      </c>
      <c r="B87" s="3">
        <v>0.61103334107142859</v>
      </c>
      <c r="C87" s="3">
        <v>0.61103334107142859</v>
      </c>
      <c r="D87" s="3">
        <v>0.61103334107142859</v>
      </c>
      <c r="E87" s="3">
        <v>0.44510914250000011</v>
      </c>
      <c r="F87" s="4">
        <v>3182.7267009999996</v>
      </c>
      <c r="G87" s="4">
        <v>148.20639390000002</v>
      </c>
      <c r="H87" s="4">
        <v>2500.2937750935798</v>
      </c>
      <c r="I87" s="4">
        <v>137.05828136245256</v>
      </c>
      <c r="J87" s="4">
        <v>2153.0922528583978</v>
      </c>
      <c r="K87" s="4">
        <v>100.26058427889036</v>
      </c>
      <c r="L87" s="4">
        <v>1393.8559441508271</v>
      </c>
      <c r="M87" s="5">
        <v>30.532706312064452</v>
      </c>
      <c r="N87" s="5">
        <v>35.360441899999998</v>
      </c>
      <c r="O87" s="6">
        <v>7.8189104672999994</v>
      </c>
      <c r="P87" s="5">
        <v>-0.8860714448214283</v>
      </c>
      <c r="Q87" s="5">
        <v>7.2768480699999985E-2</v>
      </c>
    </row>
    <row r="88" spans="1:17">
      <c r="A88" s="2">
        <v>42795</v>
      </c>
      <c r="B88" s="6">
        <v>1.0127940238709678</v>
      </c>
      <c r="C88" s="6">
        <v>1.0127940238709678</v>
      </c>
      <c r="D88" s="6">
        <v>1.0127940238709678</v>
      </c>
      <c r="E88" s="3">
        <v>0.7338097251612905</v>
      </c>
      <c r="F88" s="4">
        <v>5958.523373</v>
      </c>
      <c r="G88" s="4">
        <v>417.95368589999993</v>
      </c>
      <c r="H88" s="4">
        <v>4681.6272396970744</v>
      </c>
      <c r="I88" s="4">
        <v>314.36362032890293</v>
      </c>
      <c r="J88" s="4">
        <v>2196.5548808524732</v>
      </c>
      <c r="K88" s="4">
        <v>154.07478755953946</v>
      </c>
      <c r="L88" s="4">
        <v>1468.1120590412636</v>
      </c>
      <c r="M88" s="5">
        <v>33.766924301320842</v>
      </c>
      <c r="N88" s="5">
        <v>37.087919378000002</v>
      </c>
      <c r="O88" s="5">
        <v>18.144078444799998</v>
      </c>
      <c r="P88" s="5">
        <v>2.4899999961290322</v>
      </c>
      <c r="Q88" s="5">
        <v>1.8738777440645165</v>
      </c>
    </row>
    <row r="89" spans="1:17">
      <c r="A89" s="2">
        <v>42826</v>
      </c>
      <c r="B89" s="3">
        <v>0.30691133633333334</v>
      </c>
      <c r="C89" s="3">
        <v>0.30691133633333334</v>
      </c>
      <c r="D89" s="3">
        <v>0.30691133633333334</v>
      </c>
      <c r="E89" s="3">
        <v>0.2206646716</v>
      </c>
      <c r="F89" s="4">
        <v>1374.7545069999999</v>
      </c>
      <c r="G89" s="5">
        <v>47.468419959999991</v>
      </c>
      <c r="H89" s="4">
        <v>1066.127135018327</v>
      </c>
      <c r="I89" s="5">
        <v>52.989551056287411</v>
      </c>
      <c r="J89" s="4">
        <v>1728.1331728408213</v>
      </c>
      <c r="K89" s="5">
        <v>59.670108583921241</v>
      </c>
      <c r="L89" s="4">
        <v>997.82783906220584</v>
      </c>
      <c r="M89" s="5">
        <v>23.793116887561144</v>
      </c>
      <c r="N89" s="5">
        <v>29.388275108000002</v>
      </c>
      <c r="O89" s="5">
        <v>25.0010996874</v>
      </c>
      <c r="P89" s="5">
        <v>4.2809999800000007</v>
      </c>
      <c r="Q89" s="5">
        <v>4.0678531697666669</v>
      </c>
    </row>
    <row r="90" spans="1:17">
      <c r="A90" s="2">
        <v>42856</v>
      </c>
      <c r="B90" s="3">
        <v>0.10695450525806451</v>
      </c>
      <c r="C90" s="3">
        <v>0.10695450525806451</v>
      </c>
      <c r="D90" s="3">
        <v>0.10695450525806451</v>
      </c>
      <c r="E90" s="3">
        <v>7.6836781612903235E-2</v>
      </c>
      <c r="F90" s="4">
        <v>482.07758799999999</v>
      </c>
      <c r="G90" s="5">
        <v>16.832069540000003</v>
      </c>
      <c r="H90" s="4">
        <v>374.88599082606913</v>
      </c>
      <c r="I90" s="5">
        <v>18.283602704830919</v>
      </c>
      <c r="J90" s="4">
        <v>1682.8383406081421</v>
      </c>
      <c r="K90" s="5">
        <v>58.757455405302231</v>
      </c>
      <c r="L90" s="4">
        <v>970.20078024795214</v>
      </c>
      <c r="M90" s="5">
        <v>27.505081333773379</v>
      </c>
      <c r="N90" s="5">
        <v>21.2517486761</v>
      </c>
      <c r="O90" s="5">
        <v>51.049860140000007</v>
      </c>
      <c r="P90" s="5">
        <v>10.533548393548385</v>
      </c>
      <c r="Q90" s="5">
        <v>10.441474403225806</v>
      </c>
    </row>
    <row r="91" spans="1:17">
      <c r="A91" s="2">
        <v>42887</v>
      </c>
      <c r="B91" s="3">
        <v>5.2554961900000016E-2</v>
      </c>
      <c r="C91" s="3">
        <v>5.2554961900000016E-2</v>
      </c>
      <c r="D91" s="3">
        <v>5.2554961900000016E-2</v>
      </c>
      <c r="E91" s="3">
        <v>4.017355626666666E-2</v>
      </c>
      <c r="F91" s="4">
        <v>167.53879509999999</v>
      </c>
      <c r="G91" s="6">
        <v>4.3915629869999995</v>
      </c>
      <c r="H91" s="4">
        <v>137.84521464043692</v>
      </c>
      <c r="I91" s="6">
        <v>6.0973409257385551</v>
      </c>
      <c r="J91" s="4">
        <v>1229.8910503208081</v>
      </c>
      <c r="K91" s="5">
        <v>32.238169736623583</v>
      </c>
      <c r="L91" s="4">
        <v>521.39583003109715</v>
      </c>
      <c r="M91" s="5">
        <v>25.115839449195878</v>
      </c>
      <c r="N91" s="5">
        <v>76.920193185000002</v>
      </c>
      <c r="O91" s="5">
        <v>82.8288388</v>
      </c>
      <c r="P91" s="5">
        <v>14.643333286666666</v>
      </c>
      <c r="Q91" s="5">
        <v>14.627025256666665</v>
      </c>
    </row>
    <row r="92" spans="1:17">
      <c r="A92" s="2">
        <v>42917</v>
      </c>
      <c r="B92" s="3">
        <v>2.1179782406451617E-2</v>
      </c>
      <c r="C92" s="3">
        <v>2.1179782406451617E-2</v>
      </c>
      <c r="D92" s="3">
        <v>2.1179782406451617E-2</v>
      </c>
      <c r="E92" s="3">
        <v>1.9974041161290319E-2</v>
      </c>
      <c r="F92" s="5">
        <v>52.469305609999999</v>
      </c>
      <c r="G92" s="6">
        <v>1.7158446009999999</v>
      </c>
      <c r="H92" s="5">
        <v>58.785729744252428</v>
      </c>
      <c r="I92" s="6">
        <v>3.1150943188841254</v>
      </c>
      <c r="J92" s="4">
        <v>924.92893125627518</v>
      </c>
      <c r="K92" s="5">
        <v>30.246908803891479</v>
      </c>
      <c r="L92" s="4">
        <v>220.83340782556209</v>
      </c>
      <c r="M92" s="5">
        <v>24.998580134334777</v>
      </c>
      <c r="N92" s="5">
        <v>24.144217729200001</v>
      </c>
      <c r="O92" s="5">
        <v>58.768118999999999</v>
      </c>
      <c r="P92" s="5">
        <v>16.494838645161288</v>
      </c>
      <c r="Q92" s="5">
        <v>16.246504548387094</v>
      </c>
    </row>
    <row r="93" spans="1:17">
      <c r="A93" s="2">
        <v>42948</v>
      </c>
      <c r="B93" s="3">
        <v>2.7789268854838713E-2</v>
      </c>
      <c r="C93" s="3">
        <v>2.7789268854838713E-2</v>
      </c>
      <c r="D93" s="3">
        <v>2.7789268854838713E-2</v>
      </c>
      <c r="E93" s="3">
        <v>2.3409383967741938E-2</v>
      </c>
      <c r="F93" s="5">
        <v>57.67142385999999</v>
      </c>
      <c r="G93" s="6">
        <v>2.5123905679999998</v>
      </c>
      <c r="H93" s="5">
        <v>56.933229355801693</v>
      </c>
      <c r="I93" s="6">
        <v>3.9838400231866875</v>
      </c>
      <c r="J93" s="4">
        <v>774.83299163511947</v>
      </c>
      <c r="K93" s="5">
        <v>33.754725766285034</v>
      </c>
      <c r="L93" s="5">
        <v>65.715404759282293</v>
      </c>
      <c r="M93" s="5">
        <v>29.184205855861016</v>
      </c>
      <c r="N93" s="5">
        <v>80.693512749999996</v>
      </c>
      <c r="O93" s="5">
        <v>60.670857900000001</v>
      </c>
      <c r="P93" s="5">
        <v>15.964516096774192</v>
      </c>
      <c r="Q93" s="5">
        <v>15.286757741935487</v>
      </c>
    </row>
    <row r="94" spans="1:17">
      <c r="A94" s="2">
        <v>42979</v>
      </c>
      <c r="B94" s="3">
        <v>0.17666491216666666</v>
      </c>
      <c r="C94" s="3">
        <v>0.17666491216666666</v>
      </c>
      <c r="D94" s="3">
        <v>0.17666491216666666</v>
      </c>
      <c r="E94" s="3">
        <v>0.12519726923333335</v>
      </c>
      <c r="F94" s="4">
        <v>449.3712870999999</v>
      </c>
      <c r="G94" s="5">
        <v>17.730150949999999</v>
      </c>
      <c r="H94" s="4">
        <v>399.04835443615161</v>
      </c>
      <c r="I94" s="5">
        <v>17.836211515412543</v>
      </c>
      <c r="J94" s="4">
        <v>981.34111910014769</v>
      </c>
      <c r="K94" s="5">
        <v>38.719265698844836</v>
      </c>
      <c r="L94" s="4">
        <v>229.99469615170358</v>
      </c>
      <c r="M94" s="5">
        <v>22.91424839088814</v>
      </c>
      <c r="N94" s="5">
        <v>78.470558941999997</v>
      </c>
      <c r="O94" s="5">
        <v>57.0357962</v>
      </c>
      <c r="P94" s="5">
        <v>12.408333343333334</v>
      </c>
      <c r="Q94" s="5">
        <v>11.386794240000002</v>
      </c>
    </row>
    <row r="95" spans="1:17">
      <c r="A95" s="2">
        <v>43009</v>
      </c>
      <c r="B95" s="6">
        <v>1.4691453897419355</v>
      </c>
      <c r="C95" s="6">
        <v>1.4691453897419355</v>
      </c>
      <c r="D95" s="6">
        <v>1.4691453897419355</v>
      </c>
      <c r="E95" s="6">
        <v>1.0754021658709678</v>
      </c>
      <c r="F95" s="4">
        <v>6903.5521799999997</v>
      </c>
      <c r="G95" s="4">
        <v>556.35968072000003</v>
      </c>
      <c r="H95" s="4">
        <v>5636.7270627214129</v>
      </c>
      <c r="I95" s="4">
        <v>416.76750441815585</v>
      </c>
      <c r="J95" s="4">
        <v>1754.4151848255451</v>
      </c>
      <c r="K95" s="4">
        <v>141.38893180957024</v>
      </c>
      <c r="L95" s="4">
        <v>911.27664161257701</v>
      </c>
      <c r="M95" s="5">
        <v>26.393291327793392</v>
      </c>
      <c r="N95" s="4">
        <v>146.02588992699998</v>
      </c>
      <c r="O95" s="5">
        <v>49.455405890000002</v>
      </c>
      <c r="P95" s="5">
        <v>7.1709677225806461</v>
      </c>
      <c r="Q95" s="5">
        <v>6.502701025806453</v>
      </c>
    </row>
    <row r="96" spans="1:17">
      <c r="A96" s="2">
        <v>43040</v>
      </c>
      <c r="B96" s="6">
        <v>1.5062214793333333</v>
      </c>
      <c r="C96" s="6">
        <v>1.5062214793333333</v>
      </c>
      <c r="D96" s="6">
        <v>1.5062214793333333</v>
      </c>
      <c r="E96" s="6">
        <v>1.1130628570000001</v>
      </c>
      <c r="F96" s="4">
        <v>8205.5761299999995</v>
      </c>
      <c r="G96" s="4">
        <v>532.98596369999996</v>
      </c>
      <c r="H96" s="4">
        <v>6664.7746455767974</v>
      </c>
      <c r="I96" s="4">
        <v>446.19102379013697</v>
      </c>
      <c r="J96" s="4">
        <v>2101.7701683443793</v>
      </c>
      <c r="K96" s="4">
        <v>136.51862828141407</v>
      </c>
      <c r="L96" s="4">
        <v>1314.9969204357687</v>
      </c>
      <c r="M96" s="5">
        <v>34.577030260889273</v>
      </c>
      <c r="N96" s="5">
        <v>77.639531677000008</v>
      </c>
      <c r="O96" s="5">
        <v>22.052982194999998</v>
      </c>
      <c r="P96" s="5">
        <v>2.8356666569999995</v>
      </c>
      <c r="Q96" s="5">
        <v>2.1003111670666672</v>
      </c>
    </row>
    <row r="97" spans="1:17">
      <c r="A97" s="2">
        <v>43070</v>
      </c>
      <c r="B97" s="6">
        <v>1.7940868161290326</v>
      </c>
      <c r="C97" s="6">
        <v>1.7940868161290326</v>
      </c>
      <c r="D97" s="6">
        <v>1.7940868161290326</v>
      </c>
      <c r="E97" s="6">
        <v>1.334141143548387</v>
      </c>
      <c r="F97" s="4">
        <v>10489.063960000003</v>
      </c>
      <c r="G97" s="4">
        <v>694.02763000000004</v>
      </c>
      <c r="H97" s="4">
        <v>8517.673643888802</v>
      </c>
      <c r="I97" s="4">
        <v>581.78536026575159</v>
      </c>
      <c r="J97" s="4">
        <v>2182.8194886910419</v>
      </c>
      <c r="K97" s="4">
        <v>144.43014150020124</v>
      </c>
      <c r="L97" s="4">
        <v>1474.6913384245179</v>
      </c>
      <c r="M97" s="5">
        <v>37.11072682005873</v>
      </c>
      <c r="N97" s="5">
        <v>79.274944708000007</v>
      </c>
      <c r="O97" s="5">
        <v>16.378854822000001</v>
      </c>
      <c r="P97" s="5">
        <v>0.46161291003225802</v>
      </c>
      <c r="Q97" s="5">
        <v>0.43349715229999991</v>
      </c>
    </row>
    <row r="98" spans="1:17">
      <c r="A98" s="2">
        <v>43101</v>
      </c>
      <c r="B98" s="6">
        <v>1.7000537677419354</v>
      </c>
      <c r="C98" s="6">
        <v>1.7000537677419354</v>
      </c>
      <c r="D98" s="6">
        <v>1.7000537677419354</v>
      </c>
      <c r="E98" s="6">
        <v>1.2354137396774192</v>
      </c>
      <c r="F98" s="4">
        <v>8978.1807559999979</v>
      </c>
      <c r="G98" s="4">
        <v>579.61694979999993</v>
      </c>
      <c r="H98" s="4">
        <v>7200.5839371517613</v>
      </c>
      <c r="I98" s="4">
        <v>481.71704525646317</v>
      </c>
      <c r="J98" s="4">
        <v>1971.7426680168778</v>
      </c>
      <c r="K98" s="4">
        <v>127.29254391792254</v>
      </c>
      <c r="L98" s="4">
        <v>1352.8975717208496</v>
      </c>
      <c r="M98" s="5">
        <v>32.803346237449134</v>
      </c>
      <c r="N98" s="5">
        <v>75.400021190399997</v>
      </c>
      <c r="O98" s="5">
        <v>15.046688781169999</v>
      </c>
      <c r="P98" s="5">
        <v>-0.96193545387096779</v>
      </c>
      <c r="Q98" s="5">
        <v>0.24998551046774192</v>
      </c>
    </row>
    <row r="99" spans="1:17">
      <c r="A99" s="2">
        <v>43132</v>
      </c>
      <c r="B99" s="3">
        <v>0.91324916964285718</v>
      </c>
      <c r="C99" s="3">
        <v>0.91324916964285718</v>
      </c>
      <c r="D99" s="3">
        <v>0.91324916964285718</v>
      </c>
      <c r="E99" s="3">
        <v>0.66838065535714297</v>
      </c>
      <c r="F99" s="4">
        <v>4902.7988139999998</v>
      </c>
      <c r="G99" s="4">
        <v>305.21888950000005</v>
      </c>
      <c r="H99" s="4">
        <v>3961.7783311103944</v>
      </c>
      <c r="I99" s="4">
        <v>264.82585924891652</v>
      </c>
      <c r="J99" s="4">
        <v>2219.1312591308197</v>
      </c>
      <c r="K99" s="4">
        <v>138.14982054987476</v>
      </c>
      <c r="L99" s="4">
        <v>1623.3279977999953</v>
      </c>
      <c r="M99" s="5">
        <v>38.897919555035571</v>
      </c>
      <c r="N99" s="5">
        <v>37.148738720000004</v>
      </c>
      <c r="O99" s="6">
        <v>6.4735096850000007</v>
      </c>
      <c r="P99" s="5">
        <v>-4.2899999689285719</v>
      </c>
      <c r="Q99" s="5">
        <v>2.6361823923928572E-2</v>
      </c>
    </row>
    <row r="100" spans="1:17">
      <c r="A100" s="2">
        <v>43160</v>
      </c>
      <c r="B100" s="3">
        <v>0.49726481032258069</v>
      </c>
      <c r="C100" s="3">
        <v>0.49726481032258069</v>
      </c>
      <c r="D100" s="3">
        <v>0.49726481032258069</v>
      </c>
      <c r="E100" s="3">
        <v>0.38268253806451613</v>
      </c>
      <c r="F100" s="4">
        <v>3059.0879430000005</v>
      </c>
      <c r="G100" s="4">
        <v>155.1699404</v>
      </c>
      <c r="H100" s="4">
        <v>2572.1089868632384</v>
      </c>
      <c r="I100" s="4">
        <v>164.27685295813578</v>
      </c>
      <c r="J100" s="4">
        <v>2296.8295613234209</v>
      </c>
      <c r="K100" s="4">
        <v>116.50495606318837</v>
      </c>
      <c r="L100" s="4">
        <v>1674.8579203792215</v>
      </c>
      <c r="M100" s="5">
        <v>40.187327011001734</v>
      </c>
      <c r="N100" s="5">
        <v>30.561131433700002</v>
      </c>
      <c r="O100" s="6">
        <v>6.4393786140000007</v>
      </c>
      <c r="P100" s="5">
        <v>-2.5677419190322586</v>
      </c>
      <c r="Q100" s="5">
        <v>3.8189059164838696E-2</v>
      </c>
    </row>
    <row r="101" spans="1:17">
      <c r="A101" s="2">
        <v>43191</v>
      </c>
      <c r="B101" s="6">
        <v>1.5568609080000002</v>
      </c>
      <c r="C101" s="6">
        <v>1.5568609080000002</v>
      </c>
      <c r="D101" s="6">
        <v>1.5568609080000002</v>
      </c>
      <c r="E101" s="6">
        <v>1.0974809203333331</v>
      </c>
      <c r="F101" s="4">
        <v>7189.4112250000017</v>
      </c>
      <c r="G101" s="4">
        <v>569.1439077</v>
      </c>
      <c r="H101" s="4">
        <v>5620.267429875651</v>
      </c>
      <c r="I101" s="4">
        <v>418.51700414918093</v>
      </c>
      <c r="J101" s="4">
        <v>1781.5930257457958</v>
      </c>
      <c r="K101" s="4">
        <v>141.03836273381674</v>
      </c>
      <c r="L101" s="4">
        <v>1298.4381499238707</v>
      </c>
      <c r="M101" s="5">
        <v>31.760356962618449</v>
      </c>
      <c r="N101" s="5">
        <v>36.733825180000004</v>
      </c>
      <c r="O101" s="5">
        <v>35.959110194999994</v>
      </c>
      <c r="P101" s="5">
        <v>6.2276666523333351</v>
      </c>
      <c r="Q101" s="5">
        <v>4.5683372605333341</v>
      </c>
    </row>
    <row r="102" spans="1:17">
      <c r="A102" s="2">
        <v>43221</v>
      </c>
      <c r="B102" s="3">
        <v>0.14149456761290319</v>
      </c>
      <c r="C102" s="3">
        <v>0.14149456761290319</v>
      </c>
      <c r="D102" s="3">
        <v>0.14149456761290319</v>
      </c>
      <c r="E102" s="3">
        <v>9.7845945677419374E-2</v>
      </c>
      <c r="F102" s="4">
        <v>370.82072509999995</v>
      </c>
      <c r="G102" s="5">
        <v>10.621786629999997</v>
      </c>
      <c r="H102" s="4">
        <v>285.88396922643307</v>
      </c>
      <c r="I102" s="5">
        <v>12.254142125573937</v>
      </c>
      <c r="J102" s="4">
        <v>978.47282707814054</v>
      </c>
      <c r="K102" s="5">
        <v>28.027369555210587</v>
      </c>
      <c r="L102" s="4">
        <v>399.58027909163047</v>
      </c>
      <c r="M102" s="5">
        <v>11.395803507419817</v>
      </c>
      <c r="N102" s="6">
        <v>9.0977490000000003</v>
      </c>
      <c r="O102" s="5">
        <v>63.784756800000004</v>
      </c>
      <c r="P102" s="5">
        <v>15.279354825806449</v>
      </c>
      <c r="Q102" s="5">
        <v>14.84573015483871</v>
      </c>
    </row>
    <row r="103" spans="1:17">
      <c r="A103" s="2">
        <v>43252</v>
      </c>
      <c r="B103" s="3">
        <v>4.9483872000000005E-2</v>
      </c>
      <c r="C103" s="3">
        <v>4.9483872000000005E-2</v>
      </c>
      <c r="D103" s="3">
        <v>4.9483872000000005E-2</v>
      </c>
      <c r="E103" s="3">
        <v>4.1258226866666678E-2</v>
      </c>
      <c r="F103" s="4">
        <v>114.03781850000001</v>
      </c>
      <c r="G103" s="6">
        <v>3.5447462720000003</v>
      </c>
      <c r="H103" s="4">
        <v>127.0285638476478</v>
      </c>
      <c r="I103" s="6">
        <v>7.3865529585240388</v>
      </c>
      <c r="J103" s="4">
        <v>889.09917354221341</v>
      </c>
      <c r="K103" s="5">
        <v>27.636718374606271</v>
      </c>
      <c r="L103" s="4">
        <v>211.81688611662497</v>
      </c>
      <c r="M103" s="5">
        <v>17.394457679121288</v>
      </c>
      <c r="N103" s="5">
        <v>55.36785433</v>
      </c>
      <c r="O103" s="5">
        <v>58.373580129999993</v>
      </c>
      <c r="P103" s="5">
        <v>16.341999966666666</v>
      </c>
      <c r="Q103" s="5">
        <v>16.099688066666669</v>
      </c>
    </row>
    <row r="104" spans="1:17">
      <c r="A104" s="2">
        <v>43282</v>
      </c>
      <c r="B104" s="3">
        <v>3.5748499709677424E-2</v>
      </c>
      <c r="C104" s="3">
        <v>3.5748499709677424E-2</v>
      </c>
      <c r="D104" s="3">
        <v>3.5748499709677424E-2</v>
      </c>
      <c r="E104" s="3">
        <v>3.2124836419354839E-2</v>
      </c>
      <c r="F104" s="5">
        <v>75.151810680000011</v>
      </c>
      <c r="G104" s="6">
        <v>3.35833768</v>
      </c>
      <c r="H104" s="5">
        <v>93.332407335195143</v>
      </c>
      <c r="I104" s="6">
        <v>6.1873827617298067</v>
      </c>
      <c r="J104" s="4">
        <v>784.88526089099753</v>
      </c>
      <c r="K104" s="5">
        <v>35.074466490111625</v>
      </c>
      <c r="L104" s="4">
        <v>145.29974839829134</v>
      </c>
      <c r="M104" s="5">
        <v>26.723281837995057</v>
      </c>
      <c r="N104" s="5">
        <v>42.829687530000001</v>
      </c>
      <c r="O104" s="5">
        <v>54.547975200000018</v>
      </c>
      <c r="P104" s="5">
        <v>21.40096793548387</v>
      </c>
      <c r="Q104" s="5">
        <v>20.732084516129039</v>
      </c>
    </row>
    <row r="105" spans="1:17">
      <c r="A105" s="2">
        <v>43313</v>
      </c>
      <c r="B105" s="3">
        <v>4.8647662129032258E-2</v>
      </c>
      <c r="C105" s="3">
        <v>4.8647662129032258E-2</v>
      </c>
      <c r="D105" s="3">
        <v>4.8647662129032258E-2</v>
      </c>
      <c r="E105" s="3">
        <v>3.8744982612903225E-2</v>
      </c>
      <c r="F105" s="5">
        <v>85.139982700000019</v>
      </c>
      <c r="G105" s="6">
        <v>4.9233124590000026</v>
      </c>
      <c r="H105" s="5">
        <v>96.041050513957941</v>
      </c>
      <c r="I105" s="6">
        <v>6.9505052037209794</v>
      </c>
      <c r="J105" s="4">
        <v>653.42557718713977</v>
      </c>
      <c r="K105" s="5">
        <v>37.785046840687798</v>
      </c>
      <c r="L105" s="4">
        <v>107.43807469633187</v>
      </c>
      <c r="M105" s="5">
        <v>29.740876812440082</v>
      </c>
      <c r="N105" s="5">
        <v>85.688434450000017</v>
      </c>
      <c r="O105" s="5">
        <v>74.8663478</v>
      </c>
      <c r="P105" s="5">
        <v>18.251613064516128</v>
      </c>
      <c r="Q105" s="5">
        <v>17.318695032258066</v>
      </c>
    </row>
    <row r="106" spans="1:17">
      <c r="A106" s="2">
        <v>43344</v>
      </c>
      <c r="B106" s="3">
        <v>5.3256843533333334E-2</v>
      </c>
      <c r="C106" s="3">
        <v>5.3256843533333334E-2</v>
      </c>
      <c r="D106" s="3">
        <v>5.3256843533333334E-2</v>
      </c>
      <c r="E106" s="3">
        <v>4.0326533033333334E-2</v>
      </c>
      <c r="F106" s="5">
        <v>79.987521490000006</v>
      </c>
      <c r="G106" s="6">
        <v>5.2907362860000005</v>
      </c>
      <c r="H106" s="5">
        <v>96.230041284738178</v>
      </c>
      <c r="I106" s="6">
        <v>6.8717477999605414</v>
      </c>
      <c r="J106" s="4">
        <v>579.44444616006285</v>
      </c>
      <c r="K106" s="5">
        <v>38.327073596234307</v>
      </c>
      <c r="L106" s="4">
        <v>122.90532152545562</v>
      </c>
      <c r="M106" s="5">
        <v>31.649256525298057</v>
      </c>
      <c r="N106" s="5">
        <v>63.135471528999993</v>
      </c>
      <c r="O106" s="5">
        <v>48.822933599999992</v>
      </c>
      <c r="P106" s="5">
        <v>13.355333336666671</v>
      </c>
      <c r="Q106" s="5">
        <v>12.253403023333334</v>
      </c>
    </row>
    <row r="107" spans="1:17">
      <c r="A107" s="2">
        <v>43374</v>
      </c>
      <c r="B107" s="3">
        <v>5.6920623258064511E-2</v>
      </c>
      <c r="C107" s="3">
        <v>5.6920623258064511E-2</v>
      </c>
      <c r="D107" s="3">
        <v>5.6920623258064511E-2</v>
      </c>
      <c r="E107" s="3">
        <v>4.2108252258064506E-2</v>
      </c>
      <c r="F107" s="4">
        <v>103.66810990000002</v>
      </c>
      <c r="G107" s="6">
        <v>5.6607233200000007</v>
      </c>
      <c r="H107" s="4">
        <v>124.09442212663328</v>
      </c>
      <c r="I107" s="6">
        <v>6.8803225958969829</v>
      </c>
      <c r="J107" s="4">
        <v>679.98617101076593</v>
      </c>
      <c r="K107" s="5">
        <v>37.130159973868523</v>
      </c>
      <c r="L107" s="4">
        <v>214.61703387422557</v>
      </c>
      <c r="M107" s="5">
        <v>30.399673122063401</v>
      </c>
      <c r="N107" s="5">
        <v>34.0930042719</v>
      </c>
      <c r="O107" s="5">
        <v>27.133326628000003</v>
      </c>
      <c r="P107" s="5">
        <v>7.6967741380645167</v>
      </c>
      <c r="Q107" s="5">
        <v>6.3358624074516108</v>
      </c>
    </row>
    <row r="108" spans="1:17">
      <c r="A108" s="2">
        <v>43405</v>
      </c>
      <c r="B108" s="3">
        <v>9.6835544600000018E-2</v>
      </c>
      <c r="C108" s="3">
        <v>9.6835544600000018E-2</v>
      </c>
      <c r="D108" s="3">
        <v>9.6835544600000018E-2</v>
      </c>
      <c r="E108" s="3">
        <v>7.0364854333333324E-2</v>
      </c>
      <c r="F108" s="4">
        <v>228.86113360000002</v>
      </c>
      <c r="G108" s="6">
        <v>8.3724254899999995</v>
      </c>
      <c r="H108" s="4">
        <v>225.68024073885798</v>
      </c>
      <c r="I108" s="6">
        <v>9.4205817480266205</v>
      </c>
      <c r="J108" s="4">
        <v>911.80555882256976</v>
      </c>
      <c r="K108" s="5">
        <v>33.356577199700197</v>
      </c>
      <c r="L108" s="4">
        <v>307.18646298093125</v>
      </c>
      <c r="M108" s="5">
        <v>25.79936294870312</v>
      </c>
      <c r="N108" s="5">
        <v>38.432599427</v>
      </c>
      <c r="O108" s="5">
        <v>18.231559467</v>
      </c>
      <c r="P108" s="5">
        <v>3.6506666766666664</v>
      </c>
      <c r="Q108" s="5">
        <v>3.3644394372966668</v>
      </c>
    </row>
    <row r="109" spans="1:17">
      <c r="A109" s="2">
        <v>43435</v>
      </c>
      <c r="B109" s="3">
        <v>0.47344763612903229</v>
      </c>
      <c r="C109" s="3">
        <v>0.47344763612903229</v>
      </c>
      <c r="D109" s="3">
        <v>0.47344763612903229</v>
      </c>
      <c r="E109" s="3">
        <v>0.31762589999999996</v>
      </c>
      <c r="F109" s="4">
        <v>1768.5850229999994</v>
      </c>
      <c r="G109" s="5">
        <v>33.622216749999993</v>
      </c>
      <c r="H109" s="4">
        <v>1231.940154502691</v>
      </c>
      <c r="I109" s="5">
        <v>29.969995994382746</v>
      </c>
      <c r="J109" s="4">
        <v>1394.6927462918652</v>
      </c>
      <c r="K109" s="5">
        <v>26.514224877198352</v>
      </c>
      <c r="L109" s="4">
        <v>396.10168658834044</v>
      </c>
      <c r="M109" s="5">
        <v>10.432082198236138</v>
      </c>
      <c r="N109" s="5">
        <v>56.261877180000006</v>
      </c>
      <c r="O109" s="5">
        <v>12.395825167999998</v>
      </c>
      <c r="P109" s="5">
        <v>-4.4193538393548427E-2</v>
      </c>
      <c r="Q109" s="5">
        <v>0.20008317653548391</v>
      </c>
    </row>
    <row r="110" spans="1:17">
      <c r="A110" s="2">
        <v>43466</v>
      </c>
      <c r="B110" s="3">
        <v>0.4339666119354838</v>
      </c>
      <c r="C110" s="3">
        <v>0.4339666119354838</v>
      </c>
      <c r="D110" s="3">
        <v>0.4339666119354838</v>
      </c>
      <c r="E110" s="3">
        <v>0.31582560774193547</v>
      </c>
      <c r="F110" s="4">
        <v>2199.5937920000006</v>
      </c>
      <c r="G110" s="5">
        <v>82.105251280000004</v>
      </c>
      <c r="H110" s="4">
        <v>1782.134425881826</v>
      </c>
      <c r="I110" s="5">
        <v>89.446654554235792</v>
      </c>
      <c r="J110" s="4">
        <v>1892.3902751793557</v>
      </c>
      <c r="K110" s="5">
        <v>70.638126501822271</v>
      </c>
      <c r="L110" s="4">
        <v>1086.4793276679202</v>
      </c>
      <c r="M110" s="5">
        <v>28.010533440615063</v>
      </c>
      <c r="N110" s="5">
        <v>50.729946897700003</v>
      </c>
      <c r="O110" s="6">
        <v>9.3644851688000017</v>
      </c>
      <c r="P110" s="5">
        <v>-3.0980645209677418</v>
      </c>
      <c r="Q110" s="5">
        <v>4.2850295258064511E-2</v>
      </c>
    </row>
    <row r="111" spans="1:17">
      <c r="A111" s="2">
        <v>43497</v>
      </c>
      <c r="B111" s="6">
        <v>1.8927037321428573</v>
      </c>
      <c r="C111" s="6">
        <v>1.8927037321428573</v>
      </c>
      <c r="D111" s="6">
        <v>1.8927037321428573</v>
      </c>
      <c r="E111" s="6">
        <v>1.4330396296428574</v>
      </c>
      <c r="F111" s="4">
        <v>10892.398432999998</v>
      </c>
      <c r="G111" s="4">
        <v>868.61929258000009</v>
      </c>
      <c r="H111" s="4">
        <v>8851.9071343896449</v>
      </c>
      <c r="I111" s="4">
        <v>671.56411934168955</v>
      </c>
      <c r="J111" s="4">
        <v>2378.8610933459795</v>
      </c>
      <c r="K111" s="4">
        <v>189.70336652682693</v>
      </c>
      <c r="L111" s="4">
        <v>1634.4350486980836</v>
      </c>
      <c r="M111" s="5">
        <v>40.258115625586399</v>
      </c>
      <c r="N111" s="5">
        <v>57.883001986000004</v>
      </c>
      <c r="O111" s="5">
        <v>16.971138852999999</v>
      </c>
      <c r="P111" s="5">
        <v>1.0421428425000001</v>
      </c>
      <c r="Q111" s="5">
        <v>0.52329321193214284</v>
      </c>
    </row>
    <row r="112" spans="1:17">
      <c r="A112" s="2">
        <v>43525</v>
      </c>
      <c r="B112" s="6">
        <v>1.8928900348387099</v>
      </c>
      <c r="C112" s="6">
        <v>1.8928900348387099</v>
      </c>
      <c r="D112" s="6">
        <v>1.8928900348387099</v>
      </c>
      <c r="E112" s="6">
        <v>1.3629713145161293</v>
      </c>
      <c r="F112" s="4">
        <v>9972.5063659999996</v>
      </c>
      <c r="G112" s="4">
        <v>604.3423479999999</v>
      </c>
      <c r="H112" s="4">
        <v>7911.7057084956259</v>
      </c>
      <c r="I112" s="4">
        <v>503.4626605270368</v>
      </c>
      <c r="J112" s="4">
        <v>1966.9960432651856</v>
      </c>
      <c r="K112" s="4">
        <v>119.20162638821522</v>
      </c>
      <c r="L112" s="4">
        <v>1291.6744866796166</v>
      </c>
      <c r="M112" s="5">
        <v>30.54858629283159</v>
      </c>
      <c r="N112" s="5">
        <v>70.682851810999992</v>
      </c>
      <c r="O112" s="5">
        <v>23.390803310599999</v>
      </c>
      <c r="P112" s="5">
        <v>1.987096756774194</v>
      </c>
      <c r="Q112" s="5">
        <v>1.5969138616870968</v>
      </c>
    </row>
    <row r="113" spans="1:17">
      <c r="A113" s="2">
        <v>43556</v>
      </c>
      <c r="B113" s="3">
        <v>0.17585442909999996</v>
      </c>
      <c r="C113" s="3">
        <v>0.17585442909999996</v>
      </c>
      <c r="D113" s="3">
        <v>0.17585442909999996</v>
      </c>
      <c r="E113" s="3">
        <v>0.11800071569999999</v>
      </c>
      <c r="F113" s="4">
        <v>768.72843769999986</v>
      </c>
      <c r="G113" s="5">
        <v>21.411720629999994</v>
      </c>
      <c r="H113" s="4">
        <v>552.69288802323604</v>
      </c>
      <c r="I113" s="5">
        <v>21.301877213113784</v>
      </c>
      <c r="J113" s="4">
        <v>1686.4933011127109</v>
      </c>
      <c r="K113" s="5">
        <v>46.97461453984458</v>
      </c>
      <c r="L113" s="4">
        <v>933.4884748321557</v>
      </c>
      <c r="M113" s="5">
        <v>20.037932649638929</v>
      </c>
      <c r="N113" s="6">
        <v>4.63246248</v>
      </c>
      <c r="O113" s="5">
        <v>30.258794275</v>
      </c>
      <c r="P113" s="5">
        <v>6.8130000127333323</v>
      </c>
      <c r="Q113" s="5">
        <v>6.6332209596666676</v>
      </c>
    </row>
    <row r="114" spans="1:17">
      <c r="A114" s="2">
        <v>43586</v>
      </c>
      <c r="B114" s="3">
        <v>7.1960165387096778E-2</v>
      </c>
      <c r="C114" s="3">
        <v>7.1960165387096778E-2</v>
      </c>
      <c r="D114" s="3">
        <v>7.1960165387096778E-2</v>
      </c>
      <c r="E114" s="3">
        <v>5.1101285677419353E-2</v>
      </c>
      <c r="F114" s="4">
        <v>257.52017409999996</v>
      </c>
      <c r="G114" s="6">
        <v>5.077560053</v>
      </c>
      <c r="H114" s="4">
        <v>196.17311179028792</v>
      </c>
      <c r="I114" s="6">
        <v>7.5761645985789956</v>
      </c>
      <c r="J114" s="4">
        <v>1336.114417251546</v>
      </c>
      <c r="K114" s="5">
        <v>26.344348399985929</v>
      </c>
      <c r="L114" s="4">
        <v>557.50797892953153</v>
      </c>
      <c r="M114" s="5">
        <v>18.624699853501141</v>
      </c>
      <c r="N114" s="5">
        <v>71.827384620000004</v>
      </c>
      <c r="O114" s="5">
        <v>64.181820029999997</v>
      </c>
      <c r="P114" s="5">
        <v>10.382580645161289</v>
      </c>
      <c r="Q114" s="5">
        <v>10.432989619354839</v>
      </c>
    </row>
    <row r="115" spans="1:17">
      <c r="A115" s="2">
        <v>43617</v>
      </c>
      <c r="B115" s="3">
        <v>3.17083674E-2</v>
      </c>
      <c r="C115" s="3">
        <v>3.17083674E-2</v>
      </c>
      <c r="D115" s="3">
        <v>3.17083674E-2</v>
      </c>
      <c r="E115" s="3">
        <v>2.6740110433333339E-2</v>
      </c>
      <c r="F115" s="5">
        <v>87.414956810000021</v>
      </c>
      <c r="G115" s="6">
        <v>2.1436417030000001</v>
      </c>
      <c r="H115" s="5">
        <v>83.424528599181357</v>
      </c>
      <c r="I115" s="6">
        <v>3.7467877387400934</v>
      </c>
      <c r="J115" s="4">
        <v>1063.5963951403694</v>
      </c>
      <c r="K115" s="5">
        <v>26.082145099880769</v>
      </c>
      <c r="L115" s="4">
        <v>318.97541162742561</v>
      </c>
      <c r="M115" s="5">
        <v>20.034027744818566</v>
      </c>
      <c r="N115" s="5">
        <v>41.951164301999995</v>
      </c>
      <c r="O115" s="5">
        <v>77.781442100000021</v>
      </c>
      <c r="P115" s="5">
        <v>17.471999933333336</v>
      </c>
      <c r="Q115" s="5">
        <v>17.1950222</v>
      </c>
    </row>
    <row r="116" spans="1:17">
      <c r="A116" s="2">
        <v>43647</v>
      </c>
      <c r="B116" s="3">
        <v>6.9431263161290294E-2</v>
      </c>
      <c r="C116" s="3">
        <v>6.9431263161290294E-2</v>
      </c>
      <c r="D116" s="3">
        <v>6.9431263161290294E-2</v>
      </c>
      <c r="E116" s="3">
        <v>5.3066686709677416E-2</v>
      </c>
      <c r="F116" s="4">
        <v>165.49117530000001</v>
      </c>
      <c r="G116" s="6">
        <v>6.273951068999998</v>
      </c>
      <c r="H116" s="4">
        <v>166.73746324837296</v>
      </c>
      <c r="I116" s="6">
        <v>9.819404707664642</v>
      </c>
      <c r="J116" s="4">
        <v>889.90635844317546</v>
      </c>
      <c r="K116" s="5">
        <v>33.737321526196773</v>
      </c>
      <c r="L116" s="4">
        <v>221.69513954992456</v>
      </c>
      <c r="M116" s="5">
        <v>23.558879314856643</v>
      </c>
      <c r="N116" s="5">
        <v>80.655901736800004</v>
      </c>
      <c r="O116" s="5">
        <v>80.937370900000005</v>
      </c>
      <c r="P116" s="5">
        <v>16.604515999999997</v>
      </c>
      <c r="Q116" s="5">
        <v>16.261979870967739</v>
      </c>
    </row>
    <row r="117" spans="1:17">
      <c r="A117" s="2">
        <v>43678</v>
      </c>
      <c r="B117" s="3">
        <v>0.12299023080645162</v>
      </c>
      <c r="C117" s="3">
        <v>0.12299023080645162</v>
      </c>
      <c r="D117" s="3">
        <v>0.12299023080645162</v>
      </c>
      <c r="E117" s="3">
        <v>9.0290006193548364E-2</v>
      </c>
      <c r="F117" s="4">
        <v>310.20101590000007</v>
      </c>
      <c r="G117" s="5">
        <v>12.803359970999999</v>
      </c>
      <c r="H117" s="4">
        <v>304.15005872611084</v>
      </c>
      <c r="I117" s="5">
        <v>15.427348561856222</v>
      </c>
      <c r="J117" s="4">
        <v>941.66655398008652</v>
      </c>
      <c r="K117" s="5">
        <v>38.866720153220712</v>
      </c>
      <c r="L117" s="4">
        <v>276.35111303664831</v>
      </c>
      <c r="M117" s="5">
        <v>23.987739994591468</v>
      </c>
      <c r="N117" s="5">
        <v>94.758956059799985</v>
      </c>
      <c r="O117" s="5">
        <v>80.176245800000032</v>
      </c>
      <c r="P117" s="5">
        <v>17.029032451612903</v>
      </c>
      <c r="Q117" s="5">
        <v>16.250131161290327</v>
      </c>
    </row>
    <row r="118" spans="1:17">
      <c r="A118" s="2">
        <v>43709</v>
      </c>
      <c r="B118" s="3">
        <v>7.3800940399999973E-2</v>
      </c>
      <c r="C118" s="3">
        <v>7.3800940399999973E-2</v>
      </c>
      <c r="D118" s="3">
        <v>7.3800940399999973E-2</v>
      </c>
      <c r="E118" s="3">
        <v>5.360028893333333E-2</v>
      </c>
      <c r="F118" s="4">
        <v>205.41558039999995</v>
      </c>
      <c r="G118" s="6">
        <v>5.1117844770000014</v>
      </c>
      <c r="H118" s="4">
        <v>182.86460792907803</v>
      </c>
      <c r="I118" s="6">
        <v>7.1223669211876324</v>
      </c>
      <c r="J118" s="4">
        <v>1073.8323066702096</v>
      </c>
      <c r="K118" s="5">
        <v>26.722409790787584</v>
      </c>
      <c r="L118" s="4">
        <v>160.42430588639994</v>
      </c>
      <c r="M118" s="5">
        <v>18.803209551202659</v>
      </c>
      <c r="N118" s="5">
        <v>62.117621338499987</v>
      </c>
      <c r="O118" s="5">
        <v>50.503495930000007</v>
      </c>
      <c r="P118" s="5">
        <v>12.036333336666663</v>
      </c>
      <c r="Q118" s="5">
        <v>11.013947326666669</v>
      </c>
    </row>
    <row r="119" spans="1:17">
      <c r="A119" s="2">
        <v>43739</v>
      </c>
      <c r="B119" s="3">
        <v>0.47478250561290325</v>
      </c>
      <c r="C119" s="3">
        <v>0.47478250561290325</v>
      </c>
      <c r="D119" s="3">
        <v>0.47478250561290325</v>
      </c>
      <c r="E119" s="3">
        <v>0.32480280025806452</v>
      </c>
      <c r="F119" s="4">
        <v>1555.1250710999998</v>
      </c>
      <c r="G119" s="5">
        <v>35.2682109</v>
      </c>
      <c r="H119" s="4">
        <v>1113.1495984341559</v>
      </c>
      <c r="I119" s="5">
        <v>32.320467971269245</v>
      </c>
      <c r="J119" s="4">
        <v>1222.9118606809513</v>
      </c>
      <c r="K119" s="5">
        <v>27.734047798406362</v>
      </c>
      <c r="L119" s="4">
        <v>182.54898598570065</v>
      </c>
      <c r="M119" s="5">
        <v>10.395729835806325</v>
      </c>
      <c r="N119" s="5">
        <v>88.085469278999994</v>
      </c>
      <c r="O119" s="5">
        <v>36.047282569000004</v>
      </c>
      <c r="P119" s="5">
        <v>6.3796774035483867</v>
      </c>
      <c r="Q119" s="5">
        <v>5.4070166951612908</v>
      </c>
    </row>
    <row r="120" spans="1:17">
      <c r="A120" s="2">
        <v>43770</v>
      </c>
      <c r="B120" s="6">
        <v>1.373354937</v>
      </c>
      <c r="C120" s="6">
        <v>1.373354937</v>
      </c>
      <c r="D120" s="6">
        <v>1.373354937</v>
      </c>
      <c r="E120" s="6">
        <v>1.0303899063333335</v>
      </c>
      <c r="F120" s="4">
        <v>7261.2054290000005</v>
      </c>
      <c r="G120" s="4">
        <v>579.90175804000012</v>
      </c>
      <c r="H120" s="4">
        <v>6055.5298094390055</v>
      </c>
      <c r="I120" s="4">
        <v>457.56907200130615</v>
      </c>
      <c r="J120" s="4">
        <v>2039.8156828051178</v>
      </c>
      <c r="K120" s="4">
        <v>162.90582737114957</v>
      </c>
      <c r="L120" s="4">
        <v>1232.7483865116428</v>
      </c>
      <c r="M120" s="5">
        <v>33.433107746801575</v>
      </c>
      <c r="N120" s="5">
        <v>95.115814071000017</v>
      </c>
      <c r="O120" s="5">
        <v>25.530351171700001</v>
      </c>
      <c r="P120" s="5">
        <v>3.1276666859999991</v>
      </c>
      <c r="Q120" s="5">
        <v>2.156249180333333</v>
      </c>
    </row>
    <row r="121" spans="1:17">
      <c r="A121" s="2">
        <v>43800</v>
      </c>
      <c r="B121" s="6">
        <v>3.1123951580645159</v>
      </c>
      <c r="C121" s="6">
        <v>3.1123951580645159</v>
      </c>
      <c r="D121" s="6">
        <v>3.1123951580645159</v>
      </c>
      <c r="E121" s="6">
        <v>2.274888641290322</v>
      </c>
      <c r="F121" s="4">
        <v>17316.213470000002</v>
      </c>
      <c r="G121" s="4">
        <v>1158.9646189999999</v>
      </c>
      <c r="H121" s="4">
        <v>13904.90532891409</v>
      </c>
      <c r="I121" s="4">
        <v>956.61243953130543</v>
      </c>
      <c r="J121" s="4">
        <v>2077.2212257966748</v>
      </c>
      <c r="K121" s="4">
        <v>139.0272696419776</v>
      </c>
      <c r="L121" s="4">
        <v>1389.6990579524625</v>
      </c>
      <c r="M121" s="5">
        <v>35.254856914074608</v>
      </c>
      <c r="N121" s="4">
        <v>109.91897221799998</v>
      </c>
      <c r="O121" s="5">
        <v>25.975119374000002</v>
      </c>
      <c r="P121" s="5">
        <v>1.8890322646451612</v>
      </c>
      <c r="Q121" s="5">
        <v>1.4206420530967747</v>
      </c>
    </row>
    <row r="122" spans="1:17">
      <c r="A122" s="2">
        <v>43831</v>
      </c>
      <c r="B122" s="3">
        <v>0.52964978096774207</v>
      </c>
      <c r="C122" s="3">
        <v>0.52964978096774207</v>
      </c>
      <c r="D122" s="3">
        <v>0.52964978096774207</v>
      </c>
      <c r="E122" s="3">
        <v>0.37250755967741933</v>
      </c>
      <c r="F122" s="4">
        <v>2668.5219769999994</v>
      </c>
      <c r="G122" s="4">
        <v>105.730524</v>
      </c>
      <c r="H122" s="4">
        <v>2071.3380107741095</v>
      </c>
      <c r="I122" s="4">
        <v>104.36955354113503</v>
      </c>
      <c r="J122" s="4">
        <v>1881.0768156513934</v>
      </c>
      <c r="K122" s="5">
        <v>74.530860566071937</v>
      </c>
      <c r="L122" s="4">
        <v>1145.2125727069542</v>
      </c>
      <c r="M122" s="5">
        <v>26.346529814617185</v>
      </c>
      <c r="N122" s="5">
        <v>25.676967714999996</v>
      </c>
      <c r="O122" s="5">
        <v>14.688843859000006</v>
      </c>
      <c r="P122" s="5">
        <v>3.2451612990322594</v>
      </c>
      <c r="Q122" s="5">
        <v>1.9185992723225809</v>
      </c>
    </row>
    <row r="123" spans="1:17">
      <c r="A123" s="2">
        <v>43862</v>
      </c>
      <c r="B123" s="3">
        <v>0.59391516482758633</v>
      </c>
      <c r="C123" s="3">
        <v>0.59391516482758633</v>
      </c>
      <c r="D123" s="3">
        <v>0.59391516482758633</v>
      </c>
      <c r="E123" s="3">
        <v>0.43053675137931036</v>
      </c>
      <c r="F123" s="4">
        <v>2971.9222560000007</v>
      </c>
      <c r="G123" s="4">
        <v>127.1955476</v>
      </c>
      <c r="H123" s="4">
        <v>2386.2271427165761</v>
      </c>
      <c r="I123" s="4">
        <v>134.22246782324405</v>
      </c>
      <c r="J123" s="4">
        <v>1997.1067046432418</v>
      </c>
      <c r="K123" s="5">
        <v>85.474336268037476</v>
      </c>
      <c r="L123" s="4">
        <v>1318.4992513211253</v>
      </c>
      <c r="M123" s="5">
        <v>31.575612079254679</v>
      </c>
      <c r="N123" s="5">
        <v>35.199080148</v>
      </c>
      <c r="O123" s="5">
        <v>13.901142013900003</v>
      </c>
      <c r="P123" s="5">
        <v>1.9200000006896549</v>
      </c>
      <c r="Q123" s="5">
        <v>1.209953429051724</v>
      </c>
    </row>
    <row r="124" spans="1:17">
      <c r="A124" s="2">
        <v>43891</v>
      </c>
      <c r="B124" s="6">
        <v>1.3154647087096771</v>
      </c>
      <c r="C124" s="6">
        <v>1.3154647087096771</v>
      </c>
      <c r="D124" s="6">
        <v>1.3154647087096771</v>
      </c>
      <c r="E124" s="3">
        <v>0.96871853193548374</v>
      </c>
      <c r="F124" s="4">
        <v>7191.9979900000017</v>
      </c>
      <c r="G124" s="4">
        <v>528.63304110000001</v>
      </c>
      <c r="H124" s="4">
        <v>5835.208754840145</v>
      </c>
      <c r="I124" s="4">
        <v>417.09506861587613</v>
      </c>
      <c r="J124" s="4">
        <v>2041.2439030728472</v>
      </c>
      <c r="K124" s="4">
        <v>150.03743910070344</v>
      </c>
      <c r="L124" s="4">
        <v>1451.9912551234065</v>
      </c>
      <c r="M124" s="5">
        <v>34.456036797645282</v>
      </c>
      <c r="N124" s="5">
        <v>51.840453341000007</v>
      </c>
      <c r="O124" s="5">
        <v>20.815042638999998</v>
      </c>
      <c r="P124" s="5">
        <v>2.8280644967741928</v>
      </c>
      <c r="Q124" s="5">
        <v>2.1741166285483873</v>
      </c>
    </row>
    <row r="125" spans="1:17">
      <c r="A125" s="2">
        <v>43922</v>
      </c>
      <c r="B125" s="3">
        <v>0.12529453279999997</v>
      </c>
      <c r="C125" s="3">
        <v>0.12529453279999997</v>
      </c>
      <c r="D125" s="3">
        <v>0.12529453279999997</v>
      </c>
      <c r="E125" s="3">
        <v>8.7006572533333312E-2</v>
      </c>
      <c r="F125" s="4">
        <v>572.45465130000014</v>
      </c>
      <c r="G125" s="5">
        <v>12.999310959999997</v>
      </c>
      <c r="H125" s="4">
        <v>403.40092494515204</v>
      </c>
      <c r="I125" s="5">
        <v>14.568117846414056</v>
      </c>
      <c r="J125" s="4">
        <v>1762.6819025615541</v>
      </c>
      <c r="K125" s="5">
        <v>40.02701351615994</v>
      </c>
      <c r="L125" s="4">
        <v>1035.6747722835375</v>
      </c>
      <c r="M125" s="5">
        <v>23.740973193094661</v>
      </c>
      <c r="N125" s="5">
        <v>24.121268560999997</v>
      </c>
      <c r="O125" s="5">
        <v>32.231428100000002</v>
      </c>
      <c r="P125" s="5">
        <v>6.2939999999999987</v>
      </c>
      <c r="Q125" s="5">
        <v>6.1402854966666673</v>
      </c>
    </row>
    <row r="126" spans="1:17">
      <c r="A126" s="2">
        <v>43952</v>
      </c>
      <c r="B126" s="3">
        <v>0.30627934487096764</v>
      </c>
      <c r="C126" s="3">
        <v>0.30627934487096764</v>
      </c>
      <c r="D126" s="3">
        <v>0.30627934487096764</v>
      </c>
      <c r="E126" s="3">
        <v>0.21525738158064517</v>
      </c>
      <c r="F126" s="4">
        <v>1084.1764315</v>
      </c>
      <c r="G126" s="5">
        <v>36.950749650000013</v>
      </c>
      <c r="H126" s="4">
        <v>857.24859798251578</v>
      </c>
      <c r="I126" s="5">
        <v>42.817019663912269</v>
      </c>
      <c r="J126" s="4">
        <v>1321.6205943764371</v>
      </c>
      <c r="K126" s="5">
        <v>45.043288017942018</v>
      </c>
      <c r="L126" s="4">
        <v>667.80442724853276</v>
      </c>
      <c r="M126" s="5">
        <v>20.069753167528944</v>
      </c>
      <c r="N126" s="5">
        <v>63.714528720000004</v>
      </c>
      <c r="O126" s="5">
        <v>58.85640295000001</v>
      </c>
      <c r="P126" s="5">
        <v>9.0567742354838714</v>
      </c>
      <c r="Q126" s="5">
        <v>9.1869627967741927</v>
      </c>
    </row>
    <row r="127" spans="1:17">
      <c r="A127" s="2">
        <v>43983</v>
      </c>
      <c r="B127" s="3">
        <v>9.6814593299999988E-2</v>
      </c>
      <c r="C127" s="3">
        <v>9.6814593299999988E-2</v>
      </c>
      <c r="D127" s="3">
        <v>9.6814593299999988E-2</v>
      </c>
      <c r="E127" s="3">
        <v>7.4750061600000028E-2</v>
      </c>
      <c r="F127" s="4">
        <v>324.95185949999996</v>
      </c>
      <c r="G127" s="5">
        <v>10.524365740000004</v>
      </c>
      <c r="H127" s="4">
        <v>286.70133672890353</v>
      </c>
      <c r="I127" s="5">
        <v>15.090373305436472</v>
      </c>
      <c r="J127" s="4">
        <v>1294.920776913526</v>
      </c>
      <c r="K127" s="5">
        <v>41.939194956082858</v>
      </c>
      <c r="L127" s="4">
        <v>673.59243516663525</v>
      </c>
      <c r="M127" s="5">
        <v>25.213533308205935</v>
      </c>
      <c r="N127" s="5">
        <v>67.294261579999997</v>
      </c>
      <c r="O127" s="5">
        <v>88.637794200000002</v>
      </c>
      <c r="P127" s="5">
        <v>17.507666666666669</v>
      </c>
      <c r="Q127" s="5">
        <v>17.266295466666669</v>
      </c>
    </row>
    <row r="128" spans="1:17">
      <c r="A128" s="2">
        <v>44013</v>
      </c>
      <c r="B128" s="3">
        <v>0.21067306987096768</v>
      </c>
      <c r="C128" s="3">
        <v>0.21067306987096768</v>
      </c>
      <c r="D128" s="3">
        <v>0.21067306987096768</v>
      </c>
      <c r="E128" s="3">
        <v>0.15406486890322579</v>
      </c>
      <c r="F128" s="4">
        <v>575.12940200000014</v>
      </c>
      <c r="G128" s="5">
        <v>20.920214918999996</v>
      </c>
      <c r="H128" s="4">
        <v>488.59963540489969</v>
      </c>
      <c r="I128" s="5">
        <v>24.367838408631748</v>
      </c>
      <c r="J128" s="4">
        <v>1019.2508649280055</v>
      </c>
      <c r="K128" s="5">
        <v>37.075042859509253</v>
      </c>
      <c r="L128" s="4">
        <v>409.50599414108046</v>
      </c>
      <c r="M128" s="5">
        <v>18.570699130923547</v>
      </c>
      <c r="N128" s="4">
        <v>126.30433203639998</v>
      </c>
      <c r="O128" s="5">
        <v>96.017558700000009</v>
      </c>
      <c r="P128" s="5">
        <v>15.939999999999996</v>
      </c>
      <c r="Q128" s="5">
        <v>15.695929612903223</v>
      </c>
    </row>
    <row r="129" spans="1:17">
      <c r="A129" s="2">
        <v>44044</v>
      </c>
      <c r="B129" s="3">
        <v>6.9355448483870957E-2</v>
      </c>
      <c r="C129" s="3">
        <v>6.9355448483870957E-2</v>
      </c>
      <c r="D129" s="3">
        <v>6.9355448483870957E-2</v>
      </c>
      <c r="E129" s="3">
        <v>5.372271283870967E-2</v>
      </c>
      <c r="F129" s="4">
        <v>172.3902879</v>
      </c>
      <c r="G129" s="6">
        <v>5.2957711779999999</v>
      </c>
      <c r="H129" s="4">
        <v>164.76057565725682</v>
      </c>
      <c r="I129" s="6">
        <v>8.2716401993413662</v>
      </c>
      <c r="J129" s="4">
        <v>928.01876894401209</v>
      </c>
      <c r="K129" s="5">
        <v>28.508422385110219</v>
      </c>
      <c r="L129" s="4">
        <v>225.7519193877512</v>
      </c>
      <c r="M129" s="5">
        <v>16.915729560908748</v>
      </c>
      <c r="N129" s="5">
        <v>46.895769029699998</v>
      </c>
      <c r="O129" s="5">
        <v>65.130308920000004</v>
      </c>
      <c r="P129" s="5">
        <v>17.709354806451614</v>
      </c>
      <c r="Q129" s="5">
        <v>16.843294322580643</v>
      </c>
    </row>
    <row r="130" spans="1:17">
      <c r="A130" s="2">
        <v>44075</v>
      </c>
      <c r="B130" s="3">
        <v>4.6077158566666658E-2</v>
      </c>
      <c r="C130" s="3">
        <v>4.6077158566666658E-2</v>
      </c>
      <c r="D130" s="3">
        <v>4.6077158566666658E-2</v>
      </c>
      <c r="E130" s="3">
        <v>3.510121816666667E-2</v>
      </c>
      <c r="F130" s="5">
        <v>98.065805299999994</v>
      </c>
      <c r="G130" s="6">
        <v>3.3738785140000003</v>
      </c>
      <c r="H130" s="4">
        <v>104.06598372252026</v>
      </c>
      <c r="I130" s="6">
        <v>5.3869438865842607</v>
      </c>
      <c r="J130" s="4">
        <v>821.10158167759744</v>
      </c>
      <c r="K130" s="5">
        <v>28.2493671409519</v>
      </c>
      <c r="L130" s="4">
        <v>169.25339617491989</v>
      </c>
      <c r="M130" s="5">
        <v>21.68329660060132</v>
      </c>
      <c r="N130" s="5">
        <v>37.950696019999995</v>
      </c>
      <c r="O130" s="5">
        <v>49.649924590000005</v>
      </c>
      <c r="P130" s="5">
        <v>13.034333370000002</v>
      </c>
      <c r="Q130" s="5">
        <v>11.923019976666666</v>
      </c>
    </row>
    <row r="131" spans="1:17">
      <c r="A131" s="2">
        <v>44105</v>
      </c>
      <c r="B131" s="3">
        <v>0.48618574199999998</v>
      </c>
      <c r="C131" s="3">
        <v>0.48618574199999998</v>
      </c>
      <c r="D131" s="3">
        <v>0.48618574199999998</v>
      </c>
      <c r="E131" s="3">
        <v>0.33721806938709681</v>
      </c>
      <c r="F131" s="4">
        <v>1519.0264781999999</v>
      </c>
      <c r="G131" s="5">
        <v>53.661763734000004</v>
      </c>
      <c r="H131" s="4">
        <v>1191.2345321837836</v>
      </c>
      <c r="I131" s="5">
        <v>47.627566511477113</v>
      </c>
      <c r="J131" s="4">
        <v>1166.5078183284079</v>
      </c>
      <c r="K131" s="5">
        <v>41.208542452470624</v>
      </c>
      <c r="L131" s="4">
        <v>317.1250263594693</v>
      </c>
      <c r="M131" s="5">
        <v>15.215333810225481</v>
      </c>
      <c r="N131" s="4">
        <v>110.78782731190003</v>
      </c>
      <c r="O131" s="5">
        <v>45.400514560000005</v>
      </c>
      <c r="P131" s="5">
        <v>8.3545161419354841</v>
      </c>
      <c r="Q131" s="5">
        <v>7.1224571741935474</v>
      </c>
    </row>
    <row r="132" spans="1:17">
      <c r="A132" s="2">
        <v>44136</v>
      </c>
      <c r="B132" s="3">
        <v>0.47015549299999992</v>
      </c>
      <c r="C132" s="3">
        <v>0.47015549299999992</v>
      </c>
      <c r="D132" s="3">
        <v>0.47015549299999992</v>
      </c>
      <c r="E132" s="3">
        <v>0.33093680533333331</v>
      </c>
      <c r="F132" s="4">
        <v>1990.6116</v>
      </c>
      <c r="G132" s="5">
        <v>77.705274250000002</v>
      </c>
      <c r="H132" s="4">
        <v>1611.3902603286954</v>
      </c>
      <c r="I132" s="5">
        <v>82.267307718052976</v>
      </c>
      <c r="J132" s="4">
        <v>1633.4656046360431</v>
      </c>
      <c r="K132" s="5">
        <v>63.763767949632296</v>
      </c>
      <c r="L132" s="4">
        <v>810.43075851511537</v>
      </c>
      <c r="M132" s="5">
        <v>24.480616966578843</v>
      </c>
      <c r="N132" s="5">
        <v>39.685203980999994</v>
      </c>
      <c r="O132" s="5">
        <v>25.090209204000001</v>
      </c>
      <c r="P132" s="5">
        <v>5.9720000239999997</v>
      </c>
      <c r="Q132" s="5">
        <v>4.6042325838333324</v>
      </c>
    </row>
    <row r="133" spans="1:17">
      <c r="A133" s="2">
        <v>44166</v>
      </c>
      <c r="B133" s="6">
        <v>1.3772581570967739</v>
      </c>
      <c r="C133" s="6">
        <v>1.3772581570967739</v>
      </c>
      <c r="D133" s="6">
        <v>1.3772581570967739</v>
      </c>
      <c r="E133" s="6">
        <v>1.0346917541935483</v>
      </c>
      <c r="F133" s="4">
        <v>8253.874871</v>
      </c>
      <c r="G133" s="4">
        <v>761.78133300000013</v>
      </c>
      <c r="H133" s="4">
        <v>6770.3609342977506</v>
      </c>
      <c r="I133" s="4">
        <v>547.69806556033427</v>
      </c>
      <c r="J133" s="4">
        <v>2237.5207050428126</v>
      </c>
      <c r="K133" s="4">
        <v>206.50924905467886</v>
      </c>
      <c r="L133" s="4">
        <v>1463.481020524001</v>
      </c>
      <c r="M133" s="5">
        <v>36.718783669017498</v>
      </c>
      <c r="N133" s="5">
        <v>88.486200340000011</v>
      </c>
      <c r="O133" s="5">
        <v>24.438147210000004</v>
      </c>
      <c r="P133" s="5">
        <v>3.1464516125806457</v>
      </c>
      <c r="Q133" s="5">
        <v>1.9467404854838715</v>
      </c>
    </row>
    <row r="134" spans="1:17">
      <c r="A134" s="2">
        <v>44197</v>
      </c>
      <c r="B134" s="6">
        <v>1.4762522080645155</v>
      </c>
      <c r="C134" s="6">
        <v>1.4762522080645155</v>
      </c>
      <c r="D134" s="6">
        <v>1.4762522080645155</v>
      </c>
      <c r="E134" s="6">
        <v>1.0953171470967742</v>
      </c>
      <c r="F134" s="4">
        <v>9114.9613400000017</v>
      </c>
      <c r="G134" s="4">
        <v>600.03680299999996</v>
      </c>
      <c r="H134" s="4">
        <v>7369.6797476005031</v>
      </c>
      <c r="I134" s="4">
        <v>497.97848131156451</v>
      </c>
      <c r="J134" s="4">
        <v>2305.2541787502755</v>
      </c>
      <c r="K134" s="4">
        <v>151.75460488021903</v>
      </c>
      <c r="L134" s="4">
        <v>1574.3081584630459</v>
      </c>
      <c r="M134" s="5">
        <v>38.158591928076419</v>
      </c>
      <c r="N134" s="5">
        <v>96.611429035</v>
      </c>
      <c r="O134" s="5">
        <v>17.4949167935</v>
      </c>
      <c r="P134" s="5">
        <v>-2.0948387055806452</v>
      </c>
      <c r="Q134" s="5">
        <v>0.20164946985806448</v>
      </c>
    </row>
    <row r="135" spans="1:17">
      <c r="A135" s="2">
        <v>44228</v>
      </c>
      <c r="B135" s="6">
        <v>1.0480977575000001</v>
      </c>
      <c r="C135" s="6">
        <v>1.0480977575000001</v>
      </c>
      <c r="D135" s="6">
        <v>1.0480977575000001</v>
      </c>
      <c r="E135" s="3">
        <v>0.80235243499999986</v>
      </c>
      <c r="F135" s="4">
        <v>5775.1762739999995</v>
      </c>
      <c r="G135" s="4">
        <v>378.96421569999995</v>
      </c>
      <c r="H135" s="4">
        <v>4801.9403286233683</v>
      </c>
      <c r="I135" s="4">
        <v>327.80647459010072</v>
      </c>
      <c r="J135" s="4">
        <v>2277.6745073874381</v>
      </c>
      <c r="K135" s="4">
        <v>149.45987876513024</v>
      </c>
      <c r="L135" s="4">
        <v>1588.8366090196171</v>
      </c>
      <c r="M135" s="5">
        <v>37.819787689709031</v>
      </c>
      <c r="N135" s="5">
        <v>22.207593109000001</v>
      </c>
      <c r="O135" s="6">
        <v>8.6180082467999988</v>
      </c>
      <c r="P135" s="5">
        <v>-3.2746428535714274</v>
      </c>
      <c r="Q135" s="5">
        <v>0.41609987977496427</v>
      </c>
    </row>
    <row r="136" spans="1:17">
      <c r="A136" s="2">
        <v>44256</v>
      </c>
      <c r="B136" s="6">
        <v>1.3379533458064516</v>
      </c>
      <c r="C136" s="6">
        <v>1.3379533458064516</v>
      </c>
      <c r="D136" s="6">
        <v>1.3379533458064516</v>
      </c>
      <c r="E136" s="3">
        <v>0.92377556774193559</v>
      </c>
      <c r="F136" s="4">
        <v>6780.586487999999</v>
      </c>
      <c r="G136" s="4">
        <v>388.18994771000007</v>
      </c>
      <c r="H136" s="4">
        <v>5105.358067432825</v>
      </c>
      <c r="I136" s="4">
        <v>308.2140020668848</v>
      </c>
      <c r="J136" s="4">
        <v>1892.129413762138</v>
      </c>
      <c r="K136" s="4">
        <v>108.32478965022216</v>
      </c>
      <c r="L136" s="4">
        <v>1271.0993280972134</v>
      </c>
      <c r="M136" s="5">
        <v>28.828750332052248</v>
      </c>
      <c r="N136" s="5">
        <v>17.677983425000001</v>
      </c>
      <c r="O136" s="5">
        <v>16.612779396999997</v>
      </c>
      <c r="P136" s="5">
        <v>2.7070968067677414</v>
      </c>
      <c r="Q136" s="5">
        <v>2.3714962843870966</v>
      </c>
    </row>
    <row r="137" spans="1:17">
      <c r="A137" s="2">
        <v>44287</v>
      </c>
      <c r="B137" s="3">
        <v>0.32508445666666669</v>
      </c>
      <c r="C137" s="3">
        <v>0.32508445666666669</v>
      </c>
      <c r="D137" s="3">
        <v>0.32508445666666669</v>
      </c>
      <c r="E137" s="3">
        <v>0.22390561466666664</v>
      </c>
      <c r="F137" s="4">
        <v>1326.3588590000002</v>
      </c>
      <c r="G137" s="5">
        <v>39.182538429999994</v>
      </c>
      <c r="H137" s="4">
        <v>993.38550121125706</v>
      </c>
      <c r="I137" s="5">
        <v>44.475665209060551</v>
      </c>
      <c r="J137" s="4">
        <v>1574.0909358087251</v>
      </c>
      <c r="K137" s="5">
        <v>46.500898523128789</v>
      </c>
      <c r="L137" s="4">
        <v>913.38682130155019</v>
      </c>
      <c r="M137" s="5">
        <v>20.428783451324893</v>
      </c>
      <c r="N137" s="5">
        <v>36.967630769999992</v>
      </c>
      <c r="O137" s="5">
        <v>27.139557579999998</v>
      </c>
      <c r="P137" s="5">
        <v>4.5889999633333343</v>
      </c>
      <c r="Q137" s="5">
        <v>4.6030081433333345</v>
      </c>
    </row>
    <row r="138" spans="1:17">
      <c r="A138" s="2">
        <v>44317</v>
      </c>
      <c r="B138" s="6">
        <v>1.4826861745161291</v>
      </c>
      <c r="C138" s="6">
        <v>1.4826861745161291</v>
      </c>
      <c r="D138" s="6">
        <v>1.4826861745161291</v>
      </c>
      <c r="E138" s="6">
        <v>1.1181577387096773</v>
      </c>
      <c r="F138" s="4">
        <v>7184.7957979999992</v>
      </c>
      <c r="G138" s="4">
        <v>583.16007104999994</v>
      </c>
      <c r="H138" s="4">
        <v>6103.2245862743439</v>
      </c>
      <c r="I138" s="4">
        <v>478.23128008128964</v>
      </c>
      <c r="J138" s="4">
        <v>1809.2131470732404</v>
      </c>
      <c r="K138" s="4">
        <v>146.84632659831598</v>
      </c>
      <c r="L138" s="4">
        <v>1249.729531659937</v>
      </c>
      <c r="M138" s="5">
        <v>33.620925799602837</v>
      </c>
      <c r="N138" s="4">
        <v>145.95333718299997</v>
      </c>
      <c r="O138" s="5">
        <v>78.207230450000012</v>
      </c>
      <c r="P138" s="5">
        <v>9.8783870838709671</v>
      </c>
      <c r="Q138" s="5">
        <v>9.3802194612903218</v>
      </c>
    </row>
    <row r="139" spans="1:17">
      <c r="A139" s="2">
        <v>44348</v>
      </c>
      <c r="B139" s="3">
        <v>0.33658831809999989</v>
      </c>
      <c r="C139" s="3">
        <v>0.33658831809999989</v>
      </c>
      <c r="D139" s="3">
        <v>0.33658831809999989</v>
      </c>
      <c r="E139" s="3">
        <v>0.23116125883333324</v>
      </c>
      <c r="F139" s="4">
        <v>1512.6158259999997</v>
      </c>
      <c r="G139" s="5">
        <v>81.321778549000001</v>
      </c>
      <c r="H139" s="4">
        <v>1121.1224653475185</v>
      </c>
      <c r="I139" s="5">
        <v>65.133360166701877</v>
      </c>
      <c r="J139" s="4">
        <v>1733.782342630537</v>
      </c>
      <c r="K139" s="5">
        <v>93.212212024812871</v>
      </c>
      <c r="L139" s="4">
        <v>1107.5074898030884</v>
      </c>
      <c r="M139" s="5">
        <v>28.611041328273547</v>
      </c>
      <c r="N139" s="5">
        <v>51.213903367999997</v>
      </c>
      <c r="O139" s="5">
        <v>95.979072799999983</v>
      </c>
      <c r="P139" s="5">
        <v>18.102666499999998</v>
      </c>
      <c r="Q139" s="5">
        <v>17.633945400000002</v>
      </c>
    </row>
    <row r="140" spans="1:17">
      <c r="A140" s="2">
        <v>44378</v>
      </c>
      <c r="B140" s="3">
        <v>2.4627796483870965E-2</v>
      </c>
      <c r="C140" s="3">
        <v>2.4627796483870965E-2</v>
      </c>
      <c r="D140" s="3">
        <v>2.4627796483870965E-2</v>
      </c>
      <c r="E140" s="3">
        <v>2.3542019580645161E-2</v>
      </c>
      <c r="F140" s="5">
        <v>69.173334199999999</v>
      </c>
      <c r="G140" s="6">
        <v>1.6108304440000001</v>
      </c>
      <c r="H140" s="5">
        <v>72.209870689238628</v>
      </c>
      <c r="I140" s="6">
        <v>3.4564190766173004</v>
      </c>
      <c r="J140" s="4">
        <v>1048.6672673495166</v>
      </c>
      <c r="K140" s="5">
        <v>24.420177951985419</v>
      </c>
      <c r="L140" s="4">
        <v>236.40026221609472</v>
      </c>
      <c r="M140" s="5">
        <v>18.590777394493475</v>
      </c>
      <c r="N140" s="5">
        <v>40.288126022999997</v>
      </c>
      <c r="O140" s="5">
        <v>70.036993299999992</v>
      </c>
      <c r="P140" s="5">
        <v>20.031290258064519</v>
      </c>
      <c r="Q140" s="5">
        <v>19.429905709677417</v>
      </c>
    </row>
    <row r="141" spans="1:17">
      <c r="A141" s="2">
        <v>44409</v>
      </c>
      <c r="B141" s="3">
        <v>0.18207655741935483</v>
      </c>
      <c r="C141" s="3">
        <v>0.18207655741935483</v>
      </c>
      <c r="D141" s="3">
        <v>0.18207655741935483</v>
      </c>
      <c r="E141" s="3">
        <v>0.13019484548387097</v>
      </c>
      <c r="F141" s="4">
        <v>470.36767579999997</v>
      </c>
      <c r="G141" s="5">
        <v>18.171576042999995</v>
      </c>
      <c r="H141" s="4">
        <v>423.56460222386346</v>
      </c>
      <c r="I141" s="5">
        <v>22.333628368249094</v>
      </c>
      <c r="J141" s="4">
        <v>964.51276188008751</v>
      </c>
      <c r="K141" s="5">
        <v>37.261737524851718</v>
      </c>
      <c r="L141" s="4">
        <v>328.28842364296997</v>
      </c>
      <c r="M141" s="5">
        <v>22.818549750870012</v>
      </c>
      <c r="N141" s="4">
        <v>120.929568813</v>
      </c>
      <c r="O141" s="5">
        <v>77.330745000000007</v>
      </c>
      <c r="P141" s="5">
        <v>14.884193612903223</v>
      </c>
      <c r="Q141" s="5">
        <v>14.334485774193549</v>
      </c>
    </row>
    <row r="142" spans="1:17">
      <c r="A142" s="2">
        <v>44440</v>
      </c>
      <c r="B142" s="3">
        <v>7.8906703066666653E-2</v>
      </c>
      <c r="C142" s="3">
        <v>7.8906703066666653E-2</v>
      </c>
      <c r="D142" s="3">
        <v>7.8906703066666653E-2</v>
      </c>
      <c r="E142" s="3">
        <v>5.7936653333333352E-2</v>
      </c>
      <c r="F142" s="4">
        <v>194.97123499999998</v>
      </c>
      <c r="G142" s="6">
        <v>4.8145654500000017</v>
      </c>
      <c r="H142" s="4">
        <v>175.10359926352368</v>
      </c>
      <c r="I142" s="6">
        <v>7.568737024461031</v>
      </c>
      <c r="J142" s="4">
        <v>953.28252483237986</v>
      </c>
      <c r="K142" s="5">
        <v>23.540093118972038</v>
      </c>
      <c r="L142" s="4">
        <v>207.74583180733649</v>
      </c>
      <c r="M142" s="5">
        <v>15.922647062231928</v>
      </c>
      <c r="N142" s="5">
        <v>41.283061480000001</v>
      </c>
      <c r="O142" s="5">
        <v>46.05409610000001</v>
      </c>
      <c r="P142" s="5">
        <v>11.454333393333336</v>
      </c>
      <c r="Q142" s="5">
        <v>10.490853530000001</v>
      </c>
    </row>
    <row r="143" spans="1:17">
      <c r="A143" s="2">
        <v>44470</v>
      </c>
      <c r="B143" s="3">
        <v>0.19966344661290319</v>
      </c>
      <c r="C143" s="3">
        <v>0.19966344661290319</v>
      </c>
      <c r="D143" s="3">
        <v>0.19966344661290319</v>
      </c>
      <c r="E143" s="3">
        <v>0.14109334406451615</v>
      </c>
      <c r="F143" s="4">
        <v>572.53992979999998</v>
      </c>
      <c r="G143" s="5">
        <v>14.346042239999999</v>
      </c>
      <c r="H143" s="4">
        <v>465.60579066264501</v>
      </c>
      <c r="I143" s="5">
        <v>16.827752543623401</v>
      </c>
      <c r="J143" s="4">
        <v>1070.6111668412284</v>
      </c>
      <c r="K143" s="5">
        <v>26.826133516020853</v>
      </c>
      <c r="L143" s="4">
        <v>268.32738326030153</v>
      </c>
      <c r="M143" s="5">
        <v>15.924851567865501</v>
      </c>
      <c r="N143" s="5">
        <v>63.077756284100005</v>
      </c>
      <c r="O143" s="5">
        <v>38.653778386999996</v>
      </c>
      <c r="P143" s="5">
        <v>8.5151613193548386</v>
      </c>
      <c r="Q143" s="5">
        <v>7.2095264290322589</v>
      </c>
    </row>
    <row r="144" spans="1:17">
      <c r="A144" s="2">
        <v>44501</v>
      </c>
      <c r="B144" s="3">
        <v>0.2864237323333334</v>
      </c>
      <c r="C144" s="3">
        <v>0.2864237323333334</v>
      </c>
      <c r="D144" s="3">
        <v>0.2864237323333334</v>
      </c>
      <c r="E144" s="3">
        <v>0.19687266246666668</v>
      </c>
      <c r="F144" s="4">
        <v>868.97040099999981</v>
      </c>
      <c r="G144" s="5">
        <v>16.562934510000005</v>
      </c>
      <c r="H144" s="4">
        <v>636.74504267954183</v>
      </c>
      <c r="I144" s="5">
        <v>18.755259148653963</v>
      </c>
      <c r="J144" s="4">
        <v>1170.4718387808875</v>
      </c>
      <c r="K144" s="5">
        <v>22.309676089246835</v>
      </c>
      <c r="L144" s="4">
        <v>262.40181542890457</v>
      </c>
      <c r="M144" s="5">
        <v>10.763219798990686</v>
      </c>
      <c r="N144" s="5">
        <v>32.031708164000001</v>
      </c>
      <c r="O144" s="5">
        <v>15.536823669999997</v>
      </c>
      <c r="P144" s="5">
        <v>2.6126666733333335</v>
      </c>
      <c r="Q144" s="5">
        <v>2.4104280129000002</v>
      </c>
    </row>
    <row r="145" spans="1:17">
      <c r="A145" s="2">
        <v>44531</v>
      </c>
      <c r="B145" s="3">
        <v>0.31432597719354843</v>
      </c>
      <c r="C145" s="3">
        <v>0.31432597719354843</v>
      </c>
      <c r="D145" s="3">
        <v>0.31432597719354843</v>
      </c>
      <c r="E145" s="3">
        <v>0.23260700864516129</v>
      </c>
      <c r="F145" s="4">
        <v>1461.5414217999996</v>
      </c>
      <c r="G145" s="5">
        <v>46.46293768999999</v>
      </c>
      <c r="H145" s="4">
        <v>1234.3967486066492</v>
      </c>
      <c r="I145" s="5">
        <v>58.99003272213907</v>
      </c>
      <c r="J145" s="4">
        <v>1736.0226876616209</v>
      </c>
      <c r="K145" s="5">
        <v>55.188797304740184</v>
      </c>
      <c r="L145" s="4">
        <v>965.06980833388786</v>
      </c>
      <c r="M145" s="5">
        <v>25.925192631020192</v>
      </c>
      <c r="N145" s="5">
        <v>38.493531696000005</v>
      </c>
      <c r="O145" s="6">
        <v>8.8552694279999997</v>
      </c>
      <c r="P145" s="5">
        <v>-3.0038710119419347</v>
      </c>
      <c r="Q145" s="5">
        <v>7.2211016954838711E-2</v>
      </c>
    </row>
    <row r="146" spans="1:17">
      <c r="A146" s="2">
        <v>44562</v>
      </c>
      <c r="B146" s="6">
        <v>1.3003894438709676</v>
      </c>
      <c r="C146" s="6">
        <v>1.3003894438709676</v>
      </c>
      <c r="D146" s="6">
        <v>1.3003894438709676</v>
      </c>
      <c r="E146" s="3">
        <v>0.98251836032258044</v>
      </c>
      <c r="F146" s="4">
        <v>7928.9299599999995</v>
      </c>
      <c r="G146" s="4">
        <v>458.16223200000002</v>
      </c>
      <c r="H146" s="4">
        <v>6507.5975045720315</v>
      </c>
      <c r="I146" s="4">
        <v>420.69575230168783</v>
      </c>
      <c r="J146" s="4">
        <v>2276.4897202049924</v>
      </c>
      <c r="K146" s="4">
        <v>131.54380204740684</v>
      </c>
      <c r="L146" s="4">
        <v>1534.3006573537348</v>
      </c>
      <c r="M146" s="5">
        <v>37.520557920805942</v>
      </c>
      <c r="N146" s="5">
        <v>69.319493321399989</v>
      </c>
      <c r="O146" s="5">
        <v>14.423142586690005</v>
      </c>
      <c r="P146" s="5">
        <v>-0.48193548225806432</v>
      </c>
      <c r="Q146" s="5">
        <v>8.5887296290322573E-2</v>
      </c>
    </row>
    <row r="147" spans="1:17">
      <c r="A147" s="2">
        <v>44593</v>
      </c>
      <c r="B147" s="6">
        <v>1.8031655535714282</v>
      </c>
      <c r="C147" s="6">
        <v>1.8031655535714282</v>
      </c>
      <c r="D147" s="6">
        <v>1.8031655535714282</v>
      </c>
      <c r="E147" s="6">
        <v>1.3219152982142857</v>
      </c>
      <c r="F147" s="4">
        <v>9393.8959799999993</v>
      </c>
      <c r="G147" s="4">
        <v>603.03594899999996</v>
      </c>
      <c r="H147" s="4">
        <v>7558.8092448385214</v>
      </c>
      <c r="I147" s="4">
        <v>498.58635463159663</v>
      </c>
      <c r="J147" s="4">
        <v>2153.467661263735</v>
      </c>
      <c r="K147" s="4">
        <v>138.24066286428504</v>
      </c>
      <c r="L147" s="4">
        <v>1461.8263714489151</v>
      </c>
      <c r="M147" s="5">
        <v>34.890276263957219</v>
      </c>
      <c r="N147" s="5">
        <v>66.437798770000001</v>
      </c>
      <c r="O147" s="5">
        <v>14.175215604000002</v>
      </c>
      <c r="P147" s="5">
        <v>-0.13928570789285716</v>
      </c>
      <c r="Q147" s="5">
        <v>7.0164633710714283E-2</v>
      </c>
    </row>
    <row r="148" spans="1:17">
      <c r="A148" s="2">
        <v>44621</v>
      </c>
      <c r="B148" s="3">
        <v>0.70112181774193527</v>
      </c>
      <c r="C148" s="3">
        <v>0.70112181774193527</v>
      </c>
      <c r="D148" s="3">
        <v>0.70112181774193527</v>
      </c>
      <c r="E148" s="3">
        <v>0.49344844232258078</v>
      </c>
      <c r="F148" s="4">
        <v>3861.8028690000006</v>
      </c>
      <c r="G148" s="4">
        <v>202.07313355999997</v>
      </c>
      <c r="H148" s="4">
        <v>2937.8950084415101</v>
      </c>
      <c r="I148" s="4">
        <v>171.69515040618785</v>
      </c>
      <c r="J148" s="4">
        <v>2056.4642541741027</v>
      </c>
      <c r="K148" s="4">
        <v>107.60677895384552</v>
      </c>
      <c r="L148" s="4">
        <v>1388.7342893390519</v>
      </c>
      <c r="M148" s="5">
        <v>32.200158286165056</v>
      </c>
      <c r="N148" s="6">
        <v>1.4248941794000003</v>
      </c>
      <c r="O148" s="5">
        <v>11.392351442000001</v>
      </c>
      <c r="P148" s="5">
        <v>2.5445161187096774</v>
      </c>
      <c r="Q148" s="5">
        <v>1.807905525864516</v>
      </c>
    </row>
    <row r="149" spans="1:17">
      <c r="A149" s="2">
        <v>44652</v>
      </c>
      <c r="B149" s="3">
        <v>0.63171498233333334</v>
      </c>
      <c r="C149" s="3">
        <v>0.63171498233333334</v>
      </c>
      <c r="D149" s="3">
        <v>0.63171498233333334</v>
      </c>
      <c r="E149" s="3">
        <v>0.45849418303333328</v>
      </c>
      <c r="F149" s="4">
        <v>3156.6182490000006</v>
      </c>
      <c r="G149" s="4">
        <v>161.34766228999996</v>
      </c>
      <c r="H149" s="4">
        <v>2547.9292284049579</v>
      </c>
      <c r="I149" s="4">
        <v>153.88886875139303</v>
      </c>
      <c r="J149" s="4">
        <v>1927.8172639349702</v>
      </c>
      <c r="K149" s="5">
        <v>98.53862114514952</v>
      </c>
      <c r="L149" s="4">
        <v>1295.1558216049434</v>
      </c>
      <c r="M149" s="5">
        <v>30.811662735973872</v>
      </c>
      <c r="N149" s="5">
        <v>42.859361465000006</v>
      </c>
      <c r="O149" s="5">
        <v>28.961009634000003</v>
      </c>
      <c r="P149" s="5">
        <v>4.5620000702999999</v>
      </c>
      <c r="Q149" s="5">
        <v>4.1130848221479992</v>
      </c>
    </row>
    <row r="150" spans="1:17">
      <c r="A150" s="2">
        <v>44682</v>
      </c>
      <c r="B150" s="3">
        <v>6.6750234419354834E-2</v>
      </c>
      <c r="C150" s="3">
        <v>6.6750234419354834E-2</v>
      </c>
      <c r="D150" s="3">
        <v>6.6750234419354834E-2</v>
      </c>
      <c r="E150" s="3">
        <v>4.8166198709677435E-2</v>
      </c>
      <c r="F150" s="4">
        <v>280.83918790000001</v>
      </c>
      <c r="G150" s="6">
        <v>6.048210448999999</v>
      </c>
      <c r="H150" s="4">
        <v>212.30899678178534</v>
      </c>
      <c r="I150" s="6">
        <v>7.8335143243703191</v>
      </c>
      <c r="J150" s="4">
        <v>1570.8309823704724</v>
      </c>
      <c r="K150" s="5">
        <v>33.829738186815206</v>
      </c>
      <c r="L150" s="4">
        <v>843.07544632287613</v>
      </c>
      <c r="M150" s="5">
        <v>25.138207275817873</v>
      </c>
      <c r="N150" s="5">
        <v>62.721165220000003</v>
      </c>
      <c r="O150" s="5">
        <v>62.566293100000003</v>
      </c>
      <c r="P150" s="5">
        <v>10.747741951612905</v>
      </c>
      <c r="Q150" s="5">
        <v>10.747302464516128</v>
      </c>
    </row>
    <row r="151" spans="1:17">
      <c r="A151" s="2">
        <v>44713</v>
      </c>
      <c r="B151" s="3">
        <v>0.24940311086666675</v>
      </c>
      <c r="C151" s="3">
        <v>0.24940311086666675</v>
      </c>
      <c r="D151" s="3">
        <v>0.24940311086666675</v>
      </c>
      <c r="E151" s="3">
        <v>0.1848274741666667</v>
      </c>
      <c r="F151" s="4">
        <v>823.99815050000018</v>
      </c>
      <c r="G151" s="5">
        <v>75.417031995000002</v>
      </c>
      <c r="H151" s="4">
        <v>688.65388452225579</v>
      </c>
      <c r="I151" s="5">
        <v>54.237971517579695</v>
      </c>
      <c r="J151" s="4">
        <v>1274.6453419920315</v>
      </c>
      <c r="K151" s="4">
        <v>116.66284766910235</v>
      </c>
      <c r="L151" s="4">
        <v>653.76943425947434</v>
      </c>
      <c r="M151" s="5">
        <v>21.159187374776788</v>
      </c>
      <c r="N151" s="5">
        <v>67.489780773999996</v>
      </c>
      <c r="O151" s="5">
        <v>89.685936299999995</v>
      </c>
      <c r="P151" s="5">
        <v>17.180999966666665</v>
      </c>
      <c r="Q151" s="5">
        <v>16.853195566666667</v>
      </c>
    </row>
    <row r="152" spans="1:17">
      <c r="A152" s="2">
        <v>44743</v>
      </c>
      <c r="B152" s="3">
        <v>3.009155548387097E-2</v>
      </c>
      <c r="C152" s="3">
        <v>3.009155548387097E-2</v>
      </c>
      <c r="D152" s="3">
        <v>3.009155548387097E-2</v>
      </c>
      <c r="E152" s="3">
        <v>2.5985756516129034E-2</v>
      </c>
      <c r="F152" s="5">
        <v>79.525088570000023</v>
      </c>
      <c r="G152" s="6">
        <v>2.382968441</v>
      </c>
      <c r="H152" s="5">
        <v>79.019774653863607</v>
      </c>
      <c r="I152" s="6">
        <v>4.1785238296681584</v>
      </c>
      <c r="J152" s="4">
        <v>986.69759969473057</v>
      </c>
      <c r="K152" s="5">
        <v>29.566382884712468</v>
      </c>
      <c r="L152" s="4">
        <v>242.66205983566789</v>
      </c>
      <c r="M152" s="5">
        <v>21.775680205315204</v>
      </c>
      <c r="N152" s="5">
        <v>50.689721684000006</v>
      </c>
      <c r="O152" s="5">
        <v>72.759951199999989</v>
      </c>
      <c r="P152" s="5">
        <v>17.36225806451613</v>
      </c>
      <c r="Q152" s="5">
        <v>16.93894906451613</v>
      </c>
    </row>
    <row r="153" spans="1:17">
      <c r="A153" s="2">
        <v>44774</v>
      </c>
      <c r="B153" s="3">
        <v>9.1525076935483882E-2</v>
      </c>
      <c r="C153" s="3">
        <v>9.1525076935483882E-2</v>
      </c>
      <c r="D153" s="3">
        <v>9.1525076935483882E-2</v>
      </c>
      <c r="E153" s="3">
        <v>6.9986185677419349E-2</v>
      </c>
      <c r="F153" s="4">
        <v>209.96561077000001</v>
      </c>
      <c r="G153" s="5">
        <v>10.711270154000001</v>
      </c>
      <c r="H153" s="4">
        <v>226.24573487615652</v>
      </c>
      <c r="I153" s="5">
        <v>15.707709612817057</v>
      </c>
      <c r="J153" s="4">
        <v>856.51034124830369</v>
      </c>
      <c r="K153" s="5">
        <v>43.694364210130232</v>
      </c>
      <c r="L153" s="4">
        <v>255.280100683379</v>
      </c>
      <c r="M153" s="5">
        <v>28.276793243654541</v>
      </c>
      <c r="N153" s="5">
        <v>96.086641512</v>
      </c>
      <c r="O153" s="5">
        <v>73.588522799999993</v>
      </c>
      <c r="P153" s="5">
        <v>18.296129064516126</v>
      </c>
      <c r="Q153" s="5">
        <v>17.455641612903232</v>
      </c>
    </row>
    <row r="154" spans="1:17">
      <c r="A154" s="2">
        <v>44805</v>
      </c>
      <c r="B154" s="3">
        <v>0.16304350439999998</v>
      </c>
      <c r="C154" s="3">
        <v>0.16304350439999998</v>
      </c>
      <c r="D154" s="3">
        <v>0.16304350439999998</v>
      </c>
      <c r="E154" s="3">
        <v>0.10967746436666664</v>
      </c>
      <c r="F154" s="4">
        <v>434.41188900000003</v>
      </c>
      <c r="G154" s="5">
        <v>18.383018540000005</v>
      </c>
      <c r="H154" s="4">
        <v>385.0133493354075</v>
      </c>
      <c r="I154" s="5">
        <v>19.184829062389941</v>
      </c>
      <c r="J154" s="4">
        <v>1027.9291630359198</v>
      </c>
      <c r="K154" s="5">
        <v>43.498903903123747</v>
      </c>
      <c r="L154" s="4">
        <v>399.51679109648001</v>
      </c>
      <c r="M154" s="5">
        <v>24.486089597296711</v>
      </c>
      <c r="N154" s="5">
        <v>65.013165010999998</v>
      </c>
      <c r="O154" s="5">
        <v>47.088167919999989</v>
      </c>
      <c r="P154" s="5">
        <v>10.788333343333333</v>
      </c>
      <c r="Q154" s="5">
        <v>9.9663263233333375</v>
      </c>
    </row>
    <row r="155" spans="1:17">
      <c r="A155" s="2">
        <v>44835</v>
      </c>
      <c r="B155" s="3">
        <v>0.17401483887096775</v>
      </c>
      <c r="C155" s="3">
        <v>0.17401483887096775</v>
      </c>
      <c r="D155" s="3">
        <v>0.17401483887096775</v>
      </c>
      <c r="E155" s="3">
        <v>0.1179341446451613</v>
      </c>
      <c r="F155" s="4">
        <v>559.1201544999999</v>
      </c>
      <c r="G155" s="5">
        <v>12.037610810000002</v>
      </c>
      <c r="H155" s="4">
        <v>417.6997308891934</v>
      </c>
      <c r="I155" s="5">
        <v>13.444338396496185</v>
      </c>
      <c r="J155" s="4">
        <v>1199.6191764779724</v>
      </c>
      <c r="K155" s="5">
        <v>25.827273352794872</v>
      </c>
      <c r="L155" s="4">
        <v>236.88312856673465</v>
      </c>
      <c r="M155" s="5">
        <v>13.789074656061585</v>
      </c>
      <c r="N155" s="5">
        <v>49.861115373000004</v>
      </c>
      <c r="O155" s="5">
        <v>38.137861709999996</v>
      </c>
      <c r="P155" s="5">
        <v>9.0399999677419363</v>
      </c>
      <c r="Q155" s="5">
        <v>7.5878185870967734</v>
      </c>
    </row>
    <row r="156" spans="1:17">
      <c r="A156" s="2">
        <v>44866</v>
      </c>
      <c r="B156" s="3">
        <v>0.20650490133333335</v>
      </c>
      <c r="C156" s="3">
        <v>0.20650490133333335</v>
      </c>
      <c r="D156" s="3">
        <v>0.20650490133333335</v>
      </c>
      <c r="E156" s="3">
        <v>0.15091297449999999</v>
      </c>
      <c r="F156" s="4">
        <v>640.41606760000013</v>
      </c>
      <c r="G156" s="5">
        <v>13.788825410000001</v>
      </c>
      <c r="H156" s="4">
        <v>530.99358640868343</v>
      </c>
      <c r="I156" s="5">
        <v>18.129048182409438</v>
      </c>
      <c r="J156" s="4">
        <v>1196.4563277507591</v>
      </c>
      <c r="K156" s="5">
        <v>25.760951382868054</v>
      </c>
      <c r="L156" s="4">
        <v>258.63232145467884</v>
      </c>
      <c r="M156" s="5">
        <v>12.235849309179125</v>
      </c>
      <c r="N156" s="5">
        <v>71.469530360999983</v>
      </c>
      <c r="O156" s="5">
        <v>25.294005621</v>
      </c>
      <c r="P156" s="5">
        <v>4.5363333176666689</v>
      </c>
      <c r="Q156" s="5">
        <v>3.394241188750001</v>
      </c>
    </row>
    <row r="157" spans="1:17">
      <c r="A157" s="2">
        <v>44896</v>
      </c>
      <c r="B157" s="3">
        <v>0.83680554290322562</v>
      </c>
      <c r="C157" s="3">
        <v>0.83680554290322562</v>
      </c>
      <c r="D157" s="3">
        <v>0.83680554290322562</v>
      </c>
      <c r="E157" s="3">
        <v>0.6489845341935484</v>
      </c>
      <c r="F157" s="4">
        <v>5296.0977660000008</v>
      </c>
      <c r="G157" s="4">
        <v>688.18601109999997</v>
      </c>
      <c r="H157" s="4">
        <v>4474.3447768067927</v>
      </c>
      <c r="I157" s="4">
        <v>444.1993288792799</v>
      </c>
      <c r="J157" s="4">
        <v>2362.9579173190132</v>
      </c>
      <c r="K157" s="4">
        <v>307.04768724522341</v>
      </c>
      <c r="L157" s="4">
        <v>1539.9714862666267</v>
      </c>
      <c r="M157" s="5">
        <v>39.164329425290283</v>
      </c>
      <c r="N157" s="5">
        <v>46.128131619999998</v>
      </c>
      <c r="O157" s="5">
        <v>10.077783499600001</v>
      </c>
      <c r="P157" s="5">
        <v>-2.9209677422580644</v>
      </c>
      <c r="Q157" s="5">
        <v>0.25198625996774193</v>
      </c>
    </row>
    <row r="158" spans="1:17">
      <c r="A158" s="2">
        <v>44927</v>
      </c>
      <c r="B158" s="6">
        <v>2.775863358064516</v>
      </c>
      <c r="C158" s="6">
        <v>2.775863358064516</v>
      </c>
      <c r="D158" s="6">
        <v>2.775863358064516</v>
      </c>
      <c r="E158" s="6">
        <v>2.0083064058064521</v>
      </c>
      <c r="F158" s="4">
        <v>15935.413040000005</v>
      </c>
      <c r="G158" s="4">
        <v>978.07351000000017</v>
      </c>
      <c r="H158" s="4">
        <v>12499.657062280663</v>
      </c>
      <c r="I158" s="4">
        <v>797.91696707911899</v>
      </c>
      <c r="J158" s="4">
        <v>2143.3336537621258</v>
      </c>
      <c r="K158" s="4">
        <v>131.55215051264108</v>
      </c>
      <c r="L158" s="4">
        <v>1379.6407679395579</v>
      </c>
      <c r="M158" s="5">
        <v>32.602986161373813</v>
      </c>
      <c r="N158" s="5">
        <v>93.247440677</v>
      </c>
      <c r="O158" s="5">
        <v>19.945455444499995</v>
      </c>
      <c r="P158" s="5">
        <v>0.14096774806451615</v>
      </c>
      <c r="Q158" s="5">
        <v>0.72831493493548383</v>
      </c>
    </row>
    <row r="159" spans="1:17">
      <c r="A159" s="2">
        <v>44958</v>
      </c>
      <c r="B159" s="3">
        <v>0.81677118000000004</v>
      </c>
      <c r="C159" s="3">
        <v>0.81677118000000004</v>
      </c>
      <c r="D159" s="3">
        <v>0.81677118000000004</v>
      </c>
      <c r="E159" s="3">
        <v>0.58271840714285716</v>
      </c>
      <c r="F159" s="4">
        <v>4085.9471249999997</v>
      </c>
      <c r="G159" s="4">
        <v>176.17094029999998</v>
      </c>
      <c r="H159" s="4">
        <v>3241.0988138721118</v>
      </c>
      <c r="I159" s="4">
        <v>176.04455446655817</v>
      </c>
      <c r="J159" s="4">
        <v>2067.8571566178998</v>
      </c>
      <c r="K159" s="5">
        <v>89.158360486466549</v>
      </c>
      <c r="L159" s="4">
        <v>1308.6190857893862</v>
      </c>
      <c r="M159" s="5">
        <v>28.646297468048814</v>
      </c>
      <c r="N159" s="5">
        <v>40.783594399999998</v>
      </c>
      <c r="O159" s="6">
        <v>9.6029988850000034</v>
      </c>
      <c r="P159" s="5">
        <v>-0.51071426392857167</v>
      </c>
      <c r="Q159" s="5">
        <v>0.14440054557178569</v>
      </c>
    </row>
    <row r="160" spans="1:17">
      <c r="A160" s="2">
        <v>44986</v>
      </c>
      <c r="B160" s="6">
        <v>1.8171225029032256</v>
      </c>
      <c r="C160" s="6">
        <v>1.8171225029032256</v>
      </c>
      <c r="D160" s="6">
        <v>1.8171225029032256</v>
      </c>
      <c r="E160" s="6">
        <v>1.3449847812903226</v>
      </c>
      <c r="F160" s="4">
        <v>10272.567086000001</v>
      </c>
      <c r="G160" s="4">
        <v>740.6924726000002</v>
      </c>
      <c r="H160" s="4">
        <v>8323.4664795894332</v>
      </c>
      <c r="I160" s="4">
        <v>593.33966309791094</v>
      </c>
      <c r="J160" s="4">
        <v>2110.6650643597077</v>
      </c>
      <c r="K160" s="4">
        <v>152.18725031151575</v>
      </c>
      <c r="L160" s="4">
        <v>1502.5400848498332</v>
      </c>
      <c r="M160" s="5">
        <v>35.823220808174185</v>
      </c>
      <c r="N160" s="5">
        <v>97.125427430000002</v>
      </c>
      <c r="O160" s="5">
        <v>22.169068434000003</v>
      </c>
      <c r="P160" s="5">
        <v>-0.53677422867741942</v>
      </c>
      <c r="Q160" s="5">
        <v>0.50844105648548377</v>
      </c>
    </row>
    <row r="161" spans="1:17">
      <c r="A161" s="2">
        <v>45017</v>
      </c>
      <c r="B161" s="6">
        <v>1.0155165493333336</v>
      </c>
      <c r="C161" s="6">
        <v>1.0155165493333336</v>
      </c>
      <c r="D161" s="6">
        <v>1.0155165493333336</v>
      </c>
      <c r="E161" s="3">
        <v>0.71903827433333334</v>
      </c>
      <c r="F161" s="4">
        <v>5067.3626880000011</v>
      </c>
      <c r="G161" s="4">
        <v>293.29962544000006</v>
      </c>
      <c r="H161" s="4">
        <v>3956.7872923904988</v>
      </c>
      <c r="I161" s="4">
        <v>248.95666246865707</v>
      </c>
      <c r="J161" s="4">
        <v>1925.1295768216328</v>
      </c>
      <c r="K161" s="4">
        <v>111.42675451046095</v>
      </c>
      <c r="L161" s="4">
        <v>1341.3488663636831</v>
      </c>
      <c r="M161" s="5">
        <v>31.13649847905684</v>
      </c>
      <c r="N161" s="5">
        <v>21.986024188999998</v>
      </c>
      <c r="O161" s="5">
        <v>27.066051689999998</v>
      </c>
      <c r="P161" s="5">
        <v>4.7580000189999998</v>
      </c>
      <c r="Q161" s="5">
        <v>4.2816173040666676</v>
      </c>
    </row>
    <row r="162" spans="1:17">
      <c r="A162" s="2">
        <v>45047</v>
      </c>
      <c r="B162" s="3">
        <v>0.21856089661290326</v>
      </c>
      <c r="C162" s="3">
        <v>0.21856089661290326</v>
      </c>
      <c r="D162" s="3">
        <v>0.21856089661290326</v>
      </c>
      <c r="E162" s="3">
        <v>0.15515099541935481</v>
      </c>
      <c r="F162" s="4">
        <v>889.06356610000012</v>
      </c>
      <c r="G162" s="5">
        <v>29.501156027999997</v>
      </c>
      <c r="H162" s="4">
        <v>698.8289741977087</v>
      </c>
      <c r="I162" s="5">
        <v>34.875841220753877</v>
      </c>
      <c r="J162" s="4">
        <v>1518.7451310986655</v>
      </c>
      <c r="K162" s="5">
        <v>50.395425117250063</v>
      </c>
      <c r="L162" s="4">
        <v>861.00269882479881</v>
      </c>
      <c r="M162" s="5">
        <v>22.424781291222224</v>
      </c>
      <c r="N162" s="5">
        <v>33.589708975999997</v>
      </c>
      <c r="O162" s="5">
        <v>61.494227620000011</v>
      </c>
      <c r="P162" s="5">
        <v>11.43870977419355</v>
      </c>
      <c r="Q162" s="5">
        <v>11.384153832258063</v>
      </c>
    </row>
    <row r="163" spans="1:17">
      <c r="A163" s="2">
        <v>45078</v>
      </c>
      <c r="B163" s="3">
        <v>2.1791524233333328E-2</v>
      </c>
      <c r="C163" s="3">
        <v>2.1791524233333328E-2</v>
      </c>
      <c r="D163" s="3">
        <v>2.1791524233333328E-2</v>
      </c>
      <c r="E163" s="3">
        <v>2.1691181466666667E-2</v>
      </c>
      <c r="F163" s="5">
        <v>69.472465499999984</v>
      </c>
      <c r="G163" s="6">
        <v>1.6227838359999995</v>
      </c>
      <c r="H163" s="5">
        <v>76.027494871660949</v>
      </c>
      <c r="I163" s="6">
        <v>3.334698040925935</v>
      </c>
      <c r="J163" s="4">
        <v>1229.9574549934966</v>
      </c>
      <c r="K163" s="5">
        <v>28.730160150903536</v>
      </c>
      <c r="L163" s="4">
        <v>466.35584564886176</v>
      </c>
      <c r="M163" s="5">
        <v>23.174932623150678</v>
      </c>
      <c r="N163" s="5">
        <v>16.23784672</v>
      </c>
      <c r="O163" s="5">
        <v>50.467104100000007</v>
      </c>
      <c r="P163" s="5">
        <v>17.195666690000003</v>
      </c>
      <c r="Q163" s="5">
        <v>16.960785499999997</v>
      </c>
    </row>
    <row r="164" spans="1:17">
      <c r="A164" s="2">
        <v>45108</v>
      </c>
      <c r="B164" s="3">
        <v>0.11898848338709675</v>
      </c>
      <c r="C164" s="3">
        <v>0.11898848338709675</v>
      </c>
      <c r="D164" s="3">
        <v>0.11898848338709675</v>
      </c>
      <c r="E164" s="3">
        <v>9.1077286161290336E-2</v>
      </c>
      <c r="F164" s="4">
        <v>321.68192529999999</v>
      </c>
      <c r="G164" s="5">
        <v>13.838136154999997</v>
      </c>
      <c r="H164" s="4">
        <v>314.38671161484609</v>
      </c>
      <c r="I164" s="5">
        <v>19.463287229934892</v>
      </c>
      <c r="J164" s="4">
        <v>1009.3604030395974</v>
      </c>
      <c r="K164" s="5">
        <v>43.420740202072402</v>
      </c>
      <c r="L164" s="4">
        <v>410.39646355069988</v>
      </c>
      <c r="M164" s="5">
        <v>26.516491469713447</v>
      </c>
      <c r="N164" s="4">
        <v>140.65639488299999</v>
      </c>
      <c r="O164" s="5">
        <v>95.096913299999983</v>
      </c>
      <c r="P164" s="5">
        <v>16.537419322580647</v>
      </c>
      <c r="Q164" s="5">
        <v>16.346576709677414</v>
      </c>
    </row>
    <row r="165" spans="1:17">
      <c r="A165" s="2">
        <v>45139</v>
      </c>
      <c r="B165" s="6">
        <v>1.0273583009677421</v>
      </c>
      <c r="C165" s="6">
        <v>1.0273583009677421</v>
      </c>
      <c r="D165" s="6">
        <v>1.0273583009677421</v>
      </c>
      <c r="E165" s="3">
        <v>0.73538901445161298</v>
      </c>
      <c r="F165" s="4">
        <v>3907.3315969999999</v>
      </c>
      <c r="G165" s="4">
        <v>281.8939348799999</v>
      </c>
      <c r="H165" s="4">
        <v>3202.0531022566324</v>
      </c>
      <c r="I165" s="4">
        <v>222.14551497281701</v>
      </c>
      <c r="J165" s="4">
        <v>1419.9820923593516</v>
      </c>
      <c r="K165" s="4">
        <v>102.4444269629072</v>
      </c>
      <c r="L165" s="4">
        <v>766.86259896589843</v>
      </c>
      <c r="M165" s="5">
        <v>22.587392014000514</v>
      </c>
      <c r="N165" s="4">
        <v>149.47153019700002</v>
      </c>
      <c r="O165" s="4">
        <v>101.52908120000001</v>
      </c>
      <c r="P165" s="5">
        <v>15.966129064516128</v>
      </c>
      <c r="Q165" s="5">
        <v>15.30372822580645</v>
      </c>
    </row>
    <row r="166" spans="1:17">
      <c r="A166" s="2">
        <v>45170</v>
      </c>
      <c r="B166" s="3">
        <v>0.1318598116333333</v>
      </c>
      <c r="C166" s="3">
        <v>0.1318598116333333</v>
      </c>
      <c r="D166" s="3">
        <v>0.1318598116333333</v>
      </c>
      <c r="E166" s="3">
        <v>9.6898901433333337E-2</v>
      </c>
      <c r="F166" s="4">
        <v>432.7868019</v>
      </c>
      <c r="G166" s="5">
        <v>12.761358189000001</v>
      </c>
      <c r="H166" s="4">
        <v>351.52846647483966</v>
      </c>
      <c r="I166" s="5">
        <v>15.982611663506699</v>
      </c>
      <c r="J166" s="4">
        <v>1266.2706767461123</v>
      </c>
      <c r="K166" s="5">
        <v>37.337861682002448</v>
      </c>
      <c r="L166" s="4">
        <v>528.19013949303587</v>
      </c>
      <c r="M166" s="5">
        <v>19.448535306376687</v>
      </c>
      <c r="N166" s="5">
        <v>42.481180093500008</v>
      </c>
      <c r="O166" s="5">
        <v>59.33211219999999</v>
      </c>
      <c r="P166" s="5">
        <v>14.529333399999997</v>
      </c>
      <c r="Q166" s="5">
        <v>13.260591596666666</v>
      </c>
    </row>
    <row r="167" spans="1:17">
      <c r="A167" s="2">
        <v>45200</v>
      </c>
      <c r="B167" s="3">
        <v>0.24086705067741937</v>
      </c>
      <c r="C167" s="3">
        <v>0.24086705067741937</v>
      </c>
      <c r="D167" s="3">
        <v>0.24086705067741937</v>
      </c>
      <c r="E167" s="3">
        <v>0.18424952822580645</v>
      </c>
      <c r="F167" s="4">
        <v>683.74568810000005</v>
      </c>
      <c r="G167" s="5">
        <v>23.703529949</v>
      </c>
      <c r="H167" s="4">
        <v>624.89905828465385</v>
      </c>
      <c r="I167" s="5">
        <v>31.223020596601305</v>
      </c>
      <c r="J167" s="4">
        <v>1059.8435377243322</v>
      </c>
      <c r="K167" s="5">
        <v>36.741778814140361</v>
      </c>
      <c r="L167" s="4">
        <v>340.58438429687817</v>
      </c>
      <c r="M167" s="5">
        <v>17.913756969108228</v>
      </c>
      <c r="N167" s="5">
        <v>97.252998653999995</v>
      </c>
      <c r="O167" s="5">
        <v>35.136667551999999</v>
      </c>
      <c r="P167" s="5">
        <v>5.6887096593548385</v>
      </c>
      <c r="Q167" s="5">
        <v>4.6322266983870959</v>
      </c>
    </row>
    <row r="168" spans="1:17">
      <c r="A168" s="2">
        <v>45231</v>
      </c>
      <c r="B168" s="6">
        <v>2.139595178</v>
      </c>
      <c r="C168" s="6">
        <v>2.139595178</v>
      </c>
      <c r="D168" s="6">
        <v>2.139595178</v>
      </c>
      <c r="E168" s="6">
        <v>1.5722603070000001</v>
      </c>
      <c r="F168" s="4">
        <v>11344.18967</v>
      </c>
      <c r="G168" s="4">
        <v>858.69510009999988</v>
      </c>
      <c r="H168" s="4">
        <v>9299.0439321456051</v>
      </c>
      <c r="I168" s="4">
        <v>684.35314341118897</v>
      </c>
      <c r="J168" s="4">
        <v>2045.5347007927971</v>
      </c>
      <c r="K168" s="4">
        <v>154.83614511203118</v>
      </c>
      <c r="L168" s="4">
        <v>1339.5545946551229</v>
      </c>
      <c r="M168" s="5">
        <v>35.505293107199527</v>
      </c>
      <c r="N168" s="4">
        <v>103.00214046000002</v>
      </c>
      <c r="O168" s="5">
        <v>24.101893515</v>
      </c>
      <c r="P168" s="5">
        <v>0.75766666100000035</v>
      </c>
      <c r="Q168" s="5">
        <v>1.8726538090566665</v>
      </c>
    </row>
    <row r="169" spans="1:17">
      <c r="A169" s="2">
        <v>45261</v>
      </c>
      <c r="B169" s="6">
        <v>1.0417691322580647</v>
      </c>
      <c r="C169" s="6">
        <v>1.0417691322580647</v>
      </c>
      <c r="D169" s="6">
        <v>1.0417691322580647</v>
      </c>
      <c r="E169" s="3">
        <v>0.7892463880645163</v>
      </c>
      <c r="F169" s="4">
        <v>6135.2220069999994</v>
      </c>
      <c r="G169" s="4">
        <v>395.58230070000008</v>
      </c>
      <c r="H169" s="4">
        <v>5070.8382886534946</v>
      </c>
      <c r="I169" s="4">
        <v>347.70509470000002</v>
      </c>
      <c r="J169" s="4">
        <v>2198.7878961809702</v>
      </c>
      <c r="K169" s="4">
        <v>141.77181969934432</v>
      </c>
      <c r="L169" s="4">
        <v>1499.3284489839175</v>
      </c>
      <c r="M169" s="5">
        <v>37.598103056340356</v>
      </c>
      <c r="N169" s="5">
        <v>78.796269672299985</v>
      </c>
      <c r="O169" s="5">
        <v>14.735865008499999</v>
      </c>
      <c r="P169" s="5">
        <v>-3.0748387187096786</v>
      </c>
      <c r="Q169" s="5">
        <v>0.14313232751612906</v>
      </c>
    </row>
    <row r="170" spans="1:17">
      <c r="A170" s="2">
        <v>45292</v>
      </c>
      <c r="B170" s="3">
        <v>0.86899062580645159</v>
      </c>
      <c r="C170" s="3">
        <v>0.86899062580645159</v>
      </c>
      <c r="D170" s="3">
        <v>0.86899062580645159</v>
      </c>
      <c r="E170" s="3">
        <v>0.66182215483870965</v>
      </c>
      <c r="F170" s="4">
        <v>5182.6697730000005</v>
      </c>
      <c r="G170" s="4">
        <v>327.56363959999999</v>
      </c>
      <c r="H170" s="4">
        <v>4308.0540187721472</v>
      </c>
      <c r="I170" s="4">
        <v>292.02645741348192</v>
      </c>
      <c r="J170" s="4">
        <v>2226.7065740394241</v>
      </c>
      <c r="K170" s="4">
        <v>140.73598225935146</v>
      </c>
      <c r="L170" s="4">
        <v>1555.8234463961771</v>
      </c>
      <c r="M170" s="5">
        <v>37.782603119194242</v>
      </c>
      <c r="N170" s="5">
        <v>53.594950489600002</v>
      </c>
      <c r="O170" s="5">
        <v>11.014673262439999</v>
      </c>
      <c r="P170" s="5">
        <v>-4.1080644987096768</v>
      </c>
      <c r="Q170" s="5">
        <v>0.2263761695806451</v>
      </c>
    </row>
    <row r="171" spans="1:17">
      <c r="A171" s="2">
        <v>45323</v>
      </c>
      <c r="B171" s="6">
        <v>2.5890172079310347</v>
      </c>
      <c r="C171" s="6">
        <v>2.5890172079310347</v>
      </c>
      <c r="D171" s="6">
        <v>2.5890172079310347</v>
      </c>
      <c r="E171" s="6">
        <v>1.9505568520689653</v>
      </c>
      <c r="F171" s="4">
        <v>14178.033460000001</v>
      </c>
      <c r="G171" s="4">
        <v>1063.8206334000001</v>
      </c>
      <c r="H171" s="4">
        <v>11722.623269748034</v>
      </c>
      <c r="I171" s="4">
        <v>867.05061416315561</v>
      </c>
      <c r="J171" s="4">
        <v>2185.5930638547425</v>
      </c>
      <c r="K171" s="4">
        <v>163.99164064676611</v>
      </c>
      <c r="L171" s="4">
        <v>1623.0286956919103</v>
      </c>
      <c r="M171" s="5">
        <v>39.968763050282803</v>
      </c>
      <c r="N171" s="5">
        <v>78.96264472</v>
      </c>
      <c r="O171" s="5">
        <v>16.708562398999998</v>
      </c>
      <c r="P171" s="5">
        <v>-0.54379311241379302</v>
      </c>
      <c r="Q171" s="5">
        <v>0.56293814084137939</v>
      </c>
    </row>
    <row r="172" spans="1:17">
      <c r="A172" s="2">
        <v>45352</v>
      </c>
      <c r="B172" s="6">
        <v>2.1304581670967737</v>
      </c>
      <c r="C172" s="6">
        <v>2.1304581670967737</v>
      </c>
      <c r="D172" s="6">
        <v>2.1304581670967737</v>
      </c>
      <c r="E172" s="6">
        <v>1.5001526483870964</v>
      </c>
      <c r="F172" s="4">
        <v>10053.847010000001</v>
      </c>
      <c r="G172" s="4">
        <v>653.02103900000009</v>
      </c>
      <c r="H172" s="4">
        <v>7791.6673092879046</v>
      </c>
      <c r="I172" s="4">
        <v>519.83706030128917</v>
      </c>
      <c r="J172" s="4">
        <v>1761.9103125049285</v>
      </c>
      <c r="K172" s="4">
        <v>114.44022486961491</v>
      </c>
      <c r="L172" s="4">
        <v>1282.071142907598</v>
      </c>
      <c r="M172" s="5">
        <v>29.700828397419343</v>
      </c>
      <c r="N172" s="5">
        <v>30.696607971700001</v>
      </c>
      <c r="O172" s="5">
        <v>15.04155567338</v>
      </c>
      <c r="P172" s="5">
        <v>2.0077419493870967</v>
      </c>
      <c r="Q172" s="5">
        <v>1.4992635925483873</v>
      </c>
    </row>
    <row r="173" spans="1:17">
      <c r="A173" s="2">
        <v>45383</v>
      </c>
      <c r="B173" s="6">
        <v>1.3507965413333332</v>
      </c>
      <c r="C173" s="6">
        <v>1.3507965413333332</v>
      </c>
      <c r="D173" s="6">
        <v>1.3507965413333332</v>
      </c>
      <c r="E173" s="3">
        <v>0.93728797766666661</v>
      </c>
      <c r="F173" s="4">
        <v>5105.6501630000002</v>
      </c>
      <c r="G173" s="4">
        <v>310.62480179999994</v>
      </c>
      <c r="H173" s="4">
        <v>4094.5883068821149</v>
      </c>
      <c r="I173" s="4">
        <v>269.23806676423385</v>
      </c>
      <c r="J173" s="4">
        <v>1458.2302214766273</v>
      </c>
      <c r="K173" s="5">
        <v>88.717882788585371</v>
      </c>
      <c r="L173" s="4">
        <v>1027.9766216054488</v>
      </c>
      <c r="M173" s="5">
        <v>24.335318990849778</v>
      </c>
      <c r="N173" s="5">
        <v>63.969602676299999</v>
      </c>
      <c r="O173" s="5">
        <v>32.225667295000001</v>
      </c>
      <c r="P173" s="5">
        <v>4.3780000113333326</v>
      </c>
      <c r="Q173" s="5">
        <v>4.0265076400000002</v>
      </c>
    </row>
    <row r="174" spans="1:17">
      <c r="A174" s="2">
        <v>45413</v>
      </c>
      <c r="B174" s="3">
        <v>0.23532239835483867</v>
      </c>
      <c r="C174" s="3">
        <v>0.23532239835483867</v>
      </c>
      <c r="D174" s="3">
        <v>0.23532239835483867</v>
      </c>
      <c r="E174" s="3">
        <v>0.16778341387096773</v>
      </c>
      <c r="F174" s="4">
        <v>1042.618076</v>
      </c>
      <c r="G174" s="5">
        <v>49.665313392000016</v>
      </c>
      <c r="H174" s="4">
        <v>809.13969792625267</v>
      </c>
      <c r="I174" s="5">
        <v>46.092161431506184</v>
      </c>
      <c r="J174" s="4">
        <v>1654.1942895944289</v>
      </c>
      <c r="K174" s="5">
        <v>78.797865108799954</v>
      </c>
      <c r="L174" s="4">
        <v>1127.2008126303572</v>
      </c>
      <c r="M174" s="5">
        <v>29.572663124977286</v>
      </c>
      <c r="N174" s="5">
        <v>25.484477594000001</v>
      </c>
      <c r="O174" s="5">
        <v>68.96829910000001</v>
      </c>
      <c r="P174" s="5">
        <v>13.868709693548388</v>
      </c>
      <c r="Q174" s="5">
        <v>13.530184335483872</v>
      </c>
    </row>
    <row r="175" spans="1:17">
      <c r="A175" s="2">
        <v>45444</v>
      </c>
      <c r="B175" s="3">
        <v>5.9161744799999992E-2</v>
      </c>
      <c r="C175" s="3">
        <v>5.9161744799999992E-2</v>
      </c>
      <c r="D175" s="3">
        <v>5.9161744799999992E-2</v>
      </c>
      <c r="E175" s="3">
        <v>4.8862876266666667E-2</v>
      </c>
      <c r="F175" s="4">
        <v>163.38509779999998</v>
      </c>
      <c r="G175" s="6">
        <v>4.8467582100000008</v>
      </c>
      <c r="H175" s="4">
        <v>159.83559684694595</v>
      </c>
      <c r="I175" s="6">
        <v>7.9609553680796568</v>
      </c>
      <c r="J175" s="4">
        <v>1065.4582710044319</v>
      </c>
      <c r="K175" s="5">
        <v>31.606424549175355</v>
      </c>
      <c r="L175" s="4">
        <v>435.06275406002482</v>
      </c>
      <c r="M175" s="5">
        <v>23.559929751330557</v>
      </c>
      <c r="N175" s="5">
        <v>90.883483624999997</v>
      </c>
      <c r="O175" s="5">
        <v>80.880356700000021</v>
      </c>
      <c r="P175" s="5">
        <v>16.256999966666665</v>
      </c>
      <c r="Q175" s="5">
        <v>16.126779733333333</v>
      </c>
    </row>
    <row r="176" spans="1:17">
      <c r="A176" s="2">
        <v>45474</v>
      </c>
      <c r="B176" s="3">
        <v>0.10909740177419354</v>
      </c>
      <c r="C176" s="3">
        <v>0.10909740177419354</v>
      </c>
      <c r="D176" s="3">
        <v>0.10909740177419354</v>
      </c>
      <c r="E176" s="3">
        <v>7.7650885000000003E-2</v>
      </c>
      <c r="F176" s="4">
        <v>270.55277640000003</v>
      </c>
      <c r="G176" s="5">
        <v>10.486646643</v>
      </c>
      <c r="H176" s="4">
        <v>241.46830559089796</v>
      </c>
      <c r="I176" s="5">
        <v>12.638032981228173</v>
      </c>
      <c r="J176" s="4">
        <v>925.89583019861016</v>
      </c>
      <c r="K176" s="5">
        <v>35.887794352379544</v>
      </c>
      <c r="L176" s="4">
        <v>378.12124909408004</v>
      </c>
      <c r="M176" s="5">
        <v>21.964236147330237</v>
      </c>
      <c r="N176" s="5">
        <v>78.742042705999978</v>
      </c>
      <c r="O176" s="5">
        <v>92.828403500000007</v>
      </c>
      <c r="P176" s="5">
        <v>17.761935612903226</v>
      </c>
      <c r="Q176" s="5">
        <v>17.379360096774196</v>
      </c>
    </row>
    <row r="177" spans="1:17">
      <c r="A177" s="2">
        <v>45505</v>
      </c>
      <c r="B177" s="3">
        <v>2.1735727935483871E-2</v>
      </c>
      <c r="C177" s="3">
        <v>2.1735727935483871E-2</v>
      </c>
      <c r="D177" s="3">
        <v>2.1735727935483871E-2</v>
      </c>
      <c r="E177" s="3">
        <v>2.028081477419354E-2</v>
      </c>
      <c r="F177" s="5">
        <v>43.356978219999995</v>
      </c>
      <c r="G177" s="6">
        <v>1.478623574</v>
      </c>
      <c r="H177" s="5">
        <v>52.935307035541165</v>
      </c>
      <c r="I177" s="6">
        <v>3.1033776965502566</v>
      </c>
      <c r="J177" s="4">
        <v>744.7480254890279</v>
      </c>
      <c r="K177" s="5">
        <v>25.398494736501316</v>
      </c>
      <c r="L177" s="5">
        <v>88.196588564469707</v>
      </c>
      <c r="M177" s="5">
        <v>20.596463002910234</v>
      </c>
      <c r="N177" s="5">
        <v>27.491324121700004</v>
      </c>
      <c r="O177" s="5">
        <v>53.331908799999994</v>
      </c>
      <c r="P177" s="5">
        <v>17.473225999999997</v>
      </c>
      <c r="Q177" s="5">
        <v>16.635477225806454</v>
      </c>
    </row>
    <row r="178" spans="1:17">
      <c r="A178" s="2">
        <v>45536</v>
      </c>
      <c r="B178" s="3">
        <v>0.14238541313333333</v>
      </c>
      <c r="C178" s="3">
        <v>0.14238541313333333</v>
      </c>
      <c r="D178" s="3">
        <v>0.14238541313333333</v>
      </c>
      <c r="E178" s="3">
        <v>0.10719077946666666</v>
      </c>
      <c r="F178" s="4">
        <v>319.8174547000001</v>
      </c>
      <c r="G178" s="5">
        <v>15.781063604</v>
      </c>
      <c r="H178" s="4">
        <v>339.9704524956569</v>
      </c>
      <c r="I178" s="5">
        <v>20.800214326366504</v>
      </c>
      <c r="J178" s="4">
        <v>866.56600899762054</v>
      </c>
      <c r="K178" s="5">
        <v>42.759809563467861</v>
      </c>
      <c r="L178" s="4">
        <v>332.63374778152206</v>
      </c>
      <c r="M178" s="5">
        <v>27.45476663192791</v>
      </c>
      <c r="N178" s="4">
        <v>102.51958689040001</v>
      </c>
      <c r="O178" s="5">
        <v>55.652636939999994</v>
      </c>
      <c r="P178" s="5">
        <v>13.263999903333335</v>
      </c>
      <c r="Q178" s="5">
        <v>12.248863143333331</v>
      </c>
    </row>
    <row r="179" spans="1:17">
      <c r="A179" s="2">
        <v>45566</v>
      </c>
      <c r="B179" s="3">
        <v>0.73364405822580625</v>
      </c>
      <c r="C179" s="3">
        <v>0.73364405822580625</v>
      </c>
      <c r="D179" s="3">
        <v>0.73364405822580625</v>
      </c>
      <c r="E179" s="3">
        <v>0.5165362888709677</v>
      </c>
      <c r="F179" s="4">
        <v>2371.9562761000002</v>
      </c>
      <c r="G179" s="4">
        <v>172.12845914000002</v>
      </c>
      <c r="H179" s="4">
        <v>1836.1474268498773</v>
      </c>
      <c r="I179" s="4">
        <v>113.61210098700334</v>
      </c>
      <c r="J179" s="4">
        <v>1207.1071329167823</v>
      </c>
      <c r="K179" s="5">
        <v>87.597520661663765</v>
      </c>
      <c r="L179" s="4">
        <v>457.04261002280532</v>
      </c>
      <c r="M179" s="5">
        <v>15.385694464859926</v>
      </c>
      <c r="N179" s="5">
        <v>92.379580239999996</v>
      </c>
      <c r="O179" s="5">
        <v>44.603151029999985</v>
      </c>
      <c r="P179" s="5">
        <v>8.5690322483870958</v>
      </c>
      <c r="Q179" s="5">
        <v>7.3296519290322575</v>
      </c>
    </row>
    <row r="180" spans="1:17">
      <c r="A180" s="2">
        <v>45597</v>
      </c>
      <c r="B180" s="3">
        <v>0.30018527213333335</v>
      </c>
      <c r="C180" s="3">
        <v>0.30018527213333335</v>
      </c>
      <c r="D180" s="3">
        <v>0.30018527213333335</v>
      </c>
      <c r="E180" s="3">
        <v>0.21726292029999997</v>
      </c>
      <c r="F180" s="4">
        <v>1086.8549960999999</v>
      </c>
      <c r="G180" s="5">
        <v>44.414693299999996</v>
      </c>
      <c r="H180" s="4">
        <v>956.92052562017125</v>
      </c>
      <c r="I180" s="5">
        <v>51.08899191954886</v>
      </c>
      <c r="J180" s="4">
        <v>1396.8417910204769</v>
      </c>
      <c r="K180" s="5">
        <v>57.082405515856678</v>
      </c>
      <c r="L180" s="4">
        <v>676.30203778139185</v>
      </c>
      <c r="M180" s="5">
        <v>20.771865777780743</v>
      </c>
      <c r="N180" s="5">
        <v>40.17328022600001</v>
      </c>
      <c r="O180" s="5">
        <v>17.184638400999997</v>
      </c>
      <c r="P180" s="5">
        <v>2.8743333339999997</v>
      </c>
      <c r="Q180" s="5">
        <v>2.2258997786433334</v>
      </c>
    </row>
    <row r="181" spans="1:17">
      <c r="A181" s="2">
        <v>45627</v>
      </c>
      <c r="B181" s="6">
        <v>1.2990963558064521</v>
      </c>
      <c r="C181" s="6">
        <v>1.2990963558064521</v>
      </c>
      <c r="D181" s="6">
        <v>1.2990963558064521</v>
      </c>
      <c r="E181" s="3">
        <v>0.96500243419354848</v>
      </c>
      <c r="F181" s="4">
        <v>7624.3670600000014</v>
      </c>
      <c r="G181" s="4">
        <v>494.47686900000008</v>
      </c>
      <c r="H181" s="4">
        <v>6171.3244028362606</v>
      </c>
      <c r="I181" s="4">
        <v>419.44370679925106</v>
      </c>
      <c r="J181" s="4">
        <v>2191.2249498039805</v>
      </c>
      <c r="K181" s="4">
        <v>142.11147732477943</v>
      </c>
      <c r="L181" s="4">
        <v>1458.5284687880487</v>
      </c>
      <c r="M181" s="5">
        <v>35.909150014063762</v>
      </c>
      <c r="N181" s="5">
        <v>73.481941562999992</v>
      </c>
      <c r="O181" s="5">
        <v>17.860560222000004</v>
      </c>
      <c r="P181" s="5">
        <v>0.92483870161290316</v>
      </c>
      <c r="Q181" s="5">
        <v>0.94583646087096762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Mathias Landström</dc:creator>
  <cp:lastModifiedBy>Mathias Landström</cp:lastModifiedBy>
  <dcterms:created xsi:type="dcterms:W3CDTF">2026-04-21T17:33:35Z</dcterms:created>
  <dcterms:modified xsi:type="dcterms:W3CDTF">2026-05-11T10:01:36Z</dcterms:modified>
</cp:coreProperties>
</file>