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h-my.sharepoint.com/personal/mlandst_ug_kth_se/Documents/KEX_MSA_renewables/Python/Excel_Areas/"/>
    </mc:Choice>
  </mc:AlternateContent>
  <xr:revisionPtr revIDLastSave="5" documentId="8_{9CC732E8-4C62-1D43-A277-7FA30C475E5B}" xr6:coauthVersionLast="47" xr6:coauthVersionMax="47" xr10:uidLastSave="{8F553C1C-BC6F-433A-9CAC-755196D2A8BA}"/>
  <bookViews>
    <workbookView xWindow="-110" yWindow="-110" windowWidth="19420" windowHeight="10420" xr2:uid="{8F1E9268-7E43-5444-A4D5-552C2A7D29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</calcChain>
</file>

<file path=xl/sharedStrings.xml><?xml version="1.0" encoding="utf-8"?>
<sst xmlns="http://schemas.openxmlformats.org/spreadsheetml/2006/main" count="19" uniqueCount="18">
  <si>
    <t>Total vattenföring [m³/s]</t>
  </si>
  <si>
    <t>Total stationskorrigerad vattenföring [m³/s]</t>
  </si>
  <si>
    <t>Total naturlig vattenföring [m³/s]</t>
  </si>
  <si>
    <t>Lokal vattenföring [m³/s]</t>
  </si>
  <si>
    <t>Total kvävetransport [kg]</t>
  </si>
  <si>
    <t>Total fosfortransport [kg]</t>
  </si>
  <si>
    <t>Lokal kvävetransport [kg]</t>
  </si>
  <si>
    <t>Lokal fosfortransport [kg]</t>
  </si>
  <si>
    <t>Total kvävekoncentration [ug/l]</t>
  </si>
  <si>
    <t>Total fosforkoncentration [ug/l]</t>
  </si>
  <si>
    <t>Total koncentration av oorganiskt kväve [ug/l]</t>
  </si>
  <si>
    <t>Total koncentration av löst reaktivt fosfor [ug/l]</t>
  </si>
  <si>
    <t>Lokal nederbörd [mm]</t>
  </si>
  <si>
    <t>Lokal evapotranspiration [mm]</t>
  </si>
  <si>
    <t>Lokal luftemperatur [°C]</t>
  </si>
  <si>
    <t>Temperatur Vattendrag [°C]</t>
  </si>
  <si>
    <t>Senare värden finns i fliken "Dygnsuppdaterade värden"</t>
  </si>
  <si>
    <t>Total andel oorganiskt kväve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</si>
</sst>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"/>
    <numFmt numFmtId="165" formatCode="#0.00"/>
    <numFmt numFmtId="166" formatCode="#0.000"/>
    <numFmt numFmtId="167" formatCode="#0.0"/>
  </numFmts>
  <fonts count="3">
    <font>
      <sz val="12"/>
      <color theme="1"/>
      <name val="Aptos Narrow"/>
      <family val="2"/>
      <scheme val="minor"/>
    </font>
    <font>
      <b/>
      <sz val="10"/>
      <name val="Liberation Sans"/>
    </font>
    <font>
      <sz val="1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64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66" fontId="2" fillId="0" borderId="0" xfId="0" applyNumberFormat="1" applyFont="1" applyAlignment="1">
      <alignment vertical="top"/>
    </xf>
    <xf numFmtId="1" fontId="2" fillId="0" borderId="0" xfId="0" applyNumberFormat="1" applyFont="1" applyAlignment="1">
      <alignment vertical="top"/>
    </xf>
    <xf numFmtId="167" fontId="2" fillId="0" borderId="0" xfId="0" applyNumberFormat="1" applyFont="1" applyAlignment="1">
      <alignment vertical="top"/>
    </xf>
    <xf numFmtId="0" fontId="0" fillId="0" borderId="0" xfId="0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7C736-BF70-534F-9D28-ADE8FC25CCDF}">
  <dimension ref="A1:S186"/>
  <sheetViews>
    <sheetView tabSelected="1" workbookViewId="0">
      <selection sqref="A1:S184"/>
    </sheetView>
  </sheetViews>
  <sheetFormatPr defaultColWidth="10.6640625" defaultRowHeight="16"/>
  <cols>
    <col min="1" max="1" width="6.6640625" customWidth="1"/>
    <col min="2" max="2" width="11.6640625" customWidth="1"/>
    <col min="3" max="3" width="16.6640625" customWidth="1"/>
    <col min="4" max="5" width="11.6640625" customWidth="1"/>
    <col min="6" max="6" width="13.33203125" customWidth="1"/>
    <col min="7" max="7" width="14.1640625" customWidth="1"/>
    <col min="8" max="8" width="13.33203125" customWidth="1"/>
    <col min="9" max="9" width="14.1640625" customWidth="1"/>
    <col min="10" max="10" width="16.6640625" customWidth="1"/>
    <col min="11" max="11" width="17.5" customWidth="1"/>
    <col min="12" max="13" width="12.5" customWidth="1"/>
    <col min="14" max="14" width="9.1640625" customWidth="1"/>
    <col min="15" max="15" width="16.6640625" customWidth="1"/>
    <col min="16" max="16" width="12.5" customWidth="1"/>
    <col min="17" max="17" width="10" customWidth="1"/>
    <col min="18" max="256" width="7.5" customWidth="1"/>
    <col min="257" max="257" width="6.6640625" customWidth="1"/>
    <col min="258" max="258" width="11.6640625" customWidth="1"/>
    <col min="259" max="259" width="16.6640625" customWidth="1"/>
    <col min="260" max="261" width="11.6640625" customWidth="1"/>
    <col min="262" max="262" width="13.33203125" customWidth="1"/>
    <col min="263" max="263" width="14.1640625" customWidth="1"/>
    <col min="264" max="264" width="13.33203125" customWidth="1"/>
    <col min="265" max="265" width="14.1640625" customWidth="1"/>
    <col min="266" max="266" width="16.6640625" customWidth="1"/>
    <col min="267" max="267" width="17.5" customWidth="1"/>
    <col min="268" max="269" width="12.5" customWidth="1"/>
    <col min="270" max="270" width="9.1640625" customWidth="1"/>
    <col min="271" max="271" width="16.6640625" customWidth="1"/>
    <col min="272" max="272" width="12.5" customWidth="1"/>
    <col min="273" max="273" width="10" customWidth="1"/>
    <col min="274" max="512" width="7.5" customWidth="1"/>
    <col min="513" max="513" width="6.6640625" customWidth="1"/>
    <col min="514" max="514" width="11.6640625" customWidth="1"/>
    <col min="515" max="515" width="16.6640625" customWidth="1"/>
    <col min="516" max="517" width="11.6640625" customWidth="1"/>
    <col min="518" max="518" width="13.33203125" customWidth="1"/>
    <col min="519" max="519" width="14.1640625" customWidth="1"/>
    <col min="520" max="520" width="13.33203125" customWidth="1"/>
    <col min="521" max="521" width="14.1640625" customWidth="1"/>
    <col min="522" max="522" width="16.6640625" customWidth="1"/>
    <col min="523" max="523" width="17.5" customWidth="1"/>
    <col min="524" max="525" width="12.5" customWidth="1"/>
    <col min="526" max="526" width="9.1640625" customWidth="1"/>
    <col min="527" max="527" width="16.6640625" customWidth="1"/>
    <col min="528" max="528" width="12.5" customWidth="1"/>
    <col min="529" max="529" width="10" customWidth="1"/>
    <col min="530" max="768" width="7.5" customWidth="1"/>
    <col min="769" max="769" width="6.6640625" customWidth="1"/>
    <col min="770" max="770" width="11.6640625" customWidth="1"/>
    <col min="771" max="771" width="16.6640625" customWidth="1"/>
    <col min="772" max="773" width="11.6640625" customWidth="1"/>
    <col min="774" max="774" width="13.33203125" customWidth="1"/>
    <col min="775" max="775" width="14.1640625" customWidth="1"/>
    <col min="776" max="776" width="13.33203125" customWidth="1"/>
    <col min="777" max="777" width="14.1640625" customWidth="1"/>
    <col min="778" max="778" width="16.6640625" customWidth="1"/>
    <col min="779" max="779" width="17.5" customWidth="1"/>
    <col min="780" max="781" width="12.5" customWidth="1"/>
    <col min="782" max="782" width="9.1640625" customWidth="1"/>
    <col min="783" max="783" width="16.6640625" customWidth="1"/>
    <col min="784" max="784" width="12.5" customWidth="1"/>
    <col min="785" max="785" width="10" customWidth="1"/>
    <col min="786" max="1024" width="7.5" customWidth="1"/>
    <col min="1025" max="1025" width="6.6640625" customWidth="1"/>
    <col min="1026" max="1026" width="11.6640625" customWidth="1"/>
    <col min="1027" max="1027" width="16.6640625" customWidth="1"/>
    <col min="1028" max="1029" width="11.6640625" customWidth="1"/>
    <col min="1030" max="1030" width="13.33203125" customWidth="1"/>
    <col min="1031" max="1031" width="14.1640625" customWidth="1"/>
    <col min="1032" max="1032" width="13.33203125" customWidth="1"/>
    <col min="1033" max="1033" width="14.1640625" customWidth="1"/>
    <col min="1034" max="1034" width="16.6640625" customWidth="1"/>
    <col min="1035" max="1035" width="17.5" customWidth="1"/>
    <col min="1036" max="1037" width="12.5" customWidth="1"/>
    <col min="1038" max="1038" width="9.1640625" customWidth="1"/>
    <col min="1039" max="1039" width="16.6640625" customWidth="1"/>
    <col min="1040" max="1040" width="12.5" customWidth="1"/>
    <col min="1041" max="1041" width="10" customWidth="1"/>
    <col min="1042" max="1280" width="7.5" customWidth="1"/>
    <col min="1281" max="1281" width="6.6640625" customWidth="1"/>
    <col min="1282" max="1282" width="11.6640625" customWidth="1"/>
    <col min="1283" max="1283" width="16.6640625" customWidth="1"/>
    <col min="1284" max="1285" width="11.6640625" customWidth="1"/>
    <col min="1286" max="1286" width="13.33203125" customWidth="1"/>
    <col min="1287" max="1287" width="14.1640625" customWidth="1"/>
    <col min="1288" max="1288" width="13.33203125" customWidth="1"/>
    <col min="1289" max="1289" width="14.1640625" customWidth="1"/>
    <col min="1290" max="1290" width="16.6640625" customWidth="1"/>
    <col min="1291" max="1291" width="17.5" customWidth="1"/>
    <col min="1292" max="1293" width="12.5" customWidth="1"/>
    <col min="1294" max="1294" width="9.1640625" customWidth="1"/>
    <col min="1295" max="1295" width="16.6640625" customWidth="1"/>
    <col min="1296" max="1296" width="12.5" customWidth="1"/>
    <col min="1297" max="1297" width="10" customWidth="1"/>
    <col min="1298" max="1536" width="7.5" customWidth="1"/>
    <col min="1537" max="1537" width="6.6640625" customWidth="1"/>
    <col min="1538" max="1538" width="11.6640625" customWidth="1"/>
    <col min="1539" max="1539" width="16.6640625" customWidth="1"/>
    <col min="1540" max="1541" width="11.6640625" customWidth="1"/>
    <col min="1542" max="1542" width="13.33203125" customWidth="1"/>
    <col min="1543" max="1543" width="14.1640625" customWidth="1"/>
    <col min="1544" max="1544" width="13.33203125" customWidth="1"/>
    <col min="1545" max="1545" width="14.1640625" customWidth="1"/>
    <col min="1546" max="1546" width="16.6640625" customWidth="1"/>
    <col min="1547" max="1547" width="17.5" customWidth="1"/>
    <col min="1548" max="1549" width="12.5" customWidth="1"/>
    <col min="1550" max="1550" width="9.1640625" customWidth="1"/>
    <col min="1551" max="1551" width="16.6640625" customWidth="1"/>
    <col min="1552" max="1552" width="12.5" customWidth="1"/>
    <col min="1553" max="1553" width="10" customWidth="1"/>
    <col min="1554" max="1792" width="7.5" customWidth="1"/>
    <col min="1793" max="1793" width="6.6640625" customWidth="1"/>
    <col min="1794" max="1794" width="11.6640625" customWidth="1"/>
    <col min="1795" max="1795" width="16.6640625" customWidth="1"/>
    <col min="1796" max="1797" width="11.6640625" customWidth="1"/>
    <col min="1798" max="1798" width="13.33203125" customWidth="1"/>
    <col min="1799" max="1799" width="14.1640625" customWidth="1"/>
    <col min="1800" max="1800" width="13.33203125" customWidth="1"/>
    <col min="1801" max="1801" width="14.1640625" customWidth="1"/>
    <col min="1802" max="1802" width="16.6640625" customWidth="1"/>
    <col min="1803" max="1803" width="17.5" customWidth="1"/>
    <col min="1804" max="1805" width="12.5" customWidth="1"/>
    <col min="1806" max="1806" width="9.1640625" customWidth="1"/>
    <col min="1807" max="1807" width="16.6640625" customWidth="1"/>
    <col min="1808" max="1808" width="12.5" customWidth="1"/>
    <col min="1809" max="1809" width="10" customWidth="1"/>
    <col min="1810" max="2048" width="7.5" customWidth="1"/>
    <col min="2049" max="2049" width="6.6640625" customWidth="1"/>
    <col min="2050" max="2050" width="11.6640625" customWidth="1"/>
    <col min="2051" max="2051" width="16.6640625" customWidth="1"/>
    <col min="2052" max="2053" width="11.6640625" customWidth="1"/>
    <col min="2054" max="2054" width="13.33203125" customWidth="1"/>
    <col min="2055" max="2055" width="14.1640625" customWidth="1"/>
    <col min="2056" max="2056" width="13.33203125" customWidth="1"/>
    <col min="2057" max="2057" width="14.1640625" customWidth="1"/>
    <col min="2058" max="2058" width="16.6640625" customWidth="1"/>
    <col min="2059" max="2059" width="17.5" customWidth="1"/>
    <col min="2060" max="2061" width="12.5" customWidth="1"/>
    <col min="2062" max="2062" width="9.1640625" customWidth="1"/>
    <col min="2063" max="2063" width="16.6640625" customWidth="1"/>
    <col min="2064" max="2064" width="12.5" customWidth="1"/>
    <col min="2065" max="2065" width="10" customWidth="1"/>
    <col min="2066" max="2304" width="7.5" customWidth="1"/>
    <col min="2305" max="2305" width="6.6640625" customWidth="1"/>
    <col min="2306" max="2306" width="11.6640625" customWidth="1"/>
    <col min="2307" max="2307" width="16.6640625" customWidth="1"/>
    <col min="2308" max="2309" width="11.6640625" customWidth="1"/>
    <col min="2310" max="2310" width="13.33203125" customWidth="1"/>
    <col min="2311" max="2311" width="14.1640625" customWidth="1"/>
    <col min="2312" max="2312" width="13.33203125" customWidth="1"/>
    <col min="2313" max="2313" width="14.1640625" customWidth="1"/>
    <col min="2314" max="2314" width="16.6640625" customWidth="1"/>
    <col min="2315" max="2315" width="17.5" customWidth="1"/>
    <col min="2316" max="2317" width="12.5" customWidth="1"/>
    <col min="2318" max="2318" width="9.1640625" customWidth="1"/>
    <col min="2319" max="2319" width="16.6640625" customWidth="1"/>
    <col min="2320" max="2320" width="12.5" customWidth="1"/>
    <col min="2321" max="2321" width="10" customWidth="1"/>
    <col min="2322" max="2560" width="7.5" customWidth="1"/>
    <col min="2561" max="2561" width="6.6640625" customWidth="1"/>
    <col min="2562" max="2562" width="11.6640625" customWidth="1"/>
    <col min="2563" max="2563" width="16.6640625" customWidth="1"/>
    <col min="2564" max="2565" width="11.6640625" customWidth="1"/>
    <col min="2566" max="2566" width="13.33203125" customWidth="1"/>
    <col min="2567" max="2567" width="14.1640625" customWidth="1"/>
    <col min="2568" max="2568" width="13.33203125" customWidth="1"/>
    <col min="2569" max="2569" width="14.1640625" customWidth="1"/>
    <col min="2570" max="2570" width="16.6640625" customWidth="1"/>
    <col min="2571" max="2571" width="17.5" customWidth="1"/>
    <col min="2572" max="2573" width="12.5" customWidth="1"/>
    <col min="2574" max="2574" width="9.1640625" customWidth="1"/>
    <col min="2575" max="2575" width="16.6640625" customWidth="1"/>
    <col min="2576" max="2576" width="12.5" customWidth="1"/>
    <col min="2577" max="2577" width="10" customWidth="1"/>
    <col min="2578" max="2816" width="7.5" customWidth="1"/>
    <col min="2817" max="2817" width="6.6640625" customWidth="1"/>
    <col min="2818" max="2818" width="11.6640625" customWidth="1"/>
    <col min="2819" max="2819" width="16.6640625" customWidth="1"/>
    <col min="2820" max="2821" width="11.6640625" customWidth="1"/>
    <col min="2822" max="2822" width="13.33203125" customWidth="1"/>
    <col min="2823" max="2823" width="14.1640625" customWidth="1"/>
    <col min="2824" max="2824" width="13.33203125" customWidth="1"/>
    <col min="2825" max="2825" width="14.1640625" customWidth="1"/>
    <col min="2826" max="2826" width="16.6640625" customWidth="1"/>
    <col min="2827" max="2827" width="17.5" customWidth="1"/>
    <col min="2828" max="2829" width="12.5" customWidth="1"/>
    <col min="2830" max="2830" width="9.1640625" customWidth="1"/>
    <col min="2831" max="2831" width="16.6640625" customWidth="1"/>
    <col min="2832" max="2832" width="12.5" customWidth="1"/>
    <col min="2833" max="2833" width="10" customWidth="1"/>
    <col min="2834" max="3072" width="7.5" customWidth="1"/>
    <col min="3073" max="3073" width="6.6640625" customWidth="1"/>
    <col min="3074" max="3074" width="11.6640625" customWidth="1"/>
    <col min="3075" max="3075" width="16.6640625" customWidth="1"/>
    <col min="3076" max="3077" width="11.6640625" customWidth="1"/>
    <col min="3078" max="3078" width="13.33203125" customWidth="1"/>
    <col min="3079" max="3079" width="14.1640625" customWidth="1"/>
    <col min="3080" max="3080" width="13.33203125" customWidth="1"/>
    <col min="3081" max="3081" width="14.1640625" customWidth="1"/>
    <col min="3082" max="3082" width="16.6640625" customWidth="1"/>
    <col min="3083" max="3083" width="17.5" customWidth="1"/>
    <col min="3084" max="3085" width="12.5" customWidth="1"/>
    <col min="3086" max="3086" width="9.1640625" customWidth="1"/>
    <col min="3087" max="3087" width="16.6640625" customWidth="1"/>
    <col min="3088" max="3088" width="12.5" customWidth="1"/>
    <col min="3089" max="3089" width="10" customWidth="1"/>
    <col min="3090" max="3328" width="7.5" customWidth="1"/>
    <col min="3329" max="3329" width="6.6640625" customWidth="1"/>
    <col min="3330" max="3330" width="11.6640625" customWidth="1"/>
    <col min="3331" max="3331" width="16.6640625" customWidth="1"/>
    <col min="3332" max="3333" width="11.6640625" customWidth="1"/>
    <col min="3334" max="3334" width="13.33203125" customWidth="1"/>
    <col min="3335" max="3335" width="14.1640625" customWidth="1"/>
    <col min="3336" max="3336" width="13.33203125" customWidth="1"/>
    <col min="3337" max="3337" width="14.1640625" customWidth="1"/>
    <col min="3338" max="3338" width="16.6640625" customWidth="1"/>
    <col min="3339" max="3339" width="17.5" customWidth="1"/>
    <col min="3340" max="3341" width="12.5" customWidth="1"/>
    <col min="3342" max="3342" width="9.1640625" customWidth="1"/>
    <col min="3343" max="3343" width="16.6640625" customWidth="1"/>
    <col min="3344" max="3344" width="12.5" customWidth="1"/>
    <col min="3345" max="3345" width="10" customWidth="1"/>
    <col min="3346" max="3584" width="7.5" customWidth="1"/>
    <col min="3585" max="3585" width="6.6640625" customWidth="1"/>
    <col min="3586" max="3586" width="11.6640625" customWidth="1"/>
    <col min="3587" max="3587" width="16.6640625" customWidth="1"/>
    <col min="3588" max="3589" width="11.6640625" customWidth="1"/>
    <col min="3590" max="3590" width="13.33203125" customWidth="1"/>
    <col min="3591" max="3591" width="14.1640625" customWidth="1"/>
    <col min="3592" max="3592" width="13.33203125" customWidth="1"/>
    <col min="3593" max="3593" width="14.1640625" customWidth="1"/>
    <col min="3594" max="3594" width="16.6640625" customWidth="1"/>
    <col min="3595" max="3595" width="17.5" customWidth="1"/>
    <col min="3596" max="3597" width="12.5" customWidth="1"/>
    <col min="3598" max="3598" width="9.1640625" customWidth="1"/>
    <col min="3599" max="3599" width="16.6640625" customWidth="1"/>
    <col min="3600" max="3600" width="12.5" customWidth="1"/>
    <col min="3601" max="3601" width="10" customWidth="1"/>
    <col min="3602" max="3840" width="7.5" customWidth="1"/>
    <col min="3841" max="3841" width="6.6640625" customWidth="1"/>
    <col min="3842" max="3842" width="11.6640625" customWidth="1"/>
    <col min="3843" max="3843" width="16.6640625" customWidth="1"/>
    <col min="3844" max="3845" width="11.6640625" customWidth="1"/>
    <col min="3846" max="3846" width="13.33203125" customWidth="1"/>
    <col min="3847" max="3847" width="14.1640625" customWidth="1"/>
    <col min="3848" max="3848" width="13.33203125" customWidth="1"/>
    <col min="3849" max="3849" width="14.1640625" customWidth="1"/>
    <col min="3850" max="3850" width="16.6640625" customWidth="1"/>
    <col min="3851" max="3851" width="17.5" customWidth="1"/>
    <col min="3852" max="3853" width="12.5" customWidth="1"/>
    <col min="3854" max="3854" width="9.1640625" customWidth="1"/>
    <col min="3855" max="3855" width="16.6640625" customWidth="1"/>
    <col min="3856" max="3856" width="12.5" customWidth="1"/>
    <col min="3857" max="3857" width="10" customWidth="1"/>
    <col min="3858" max="4096" width="7.5" customWidth="1"/>
    <col min="4097" max="4097" width="6.6640625" customWidth="1"/>
    <col min="4098" max="4098" width="11.6640625" customWidth="1"/>
    <col min="4099" max="4099" width="16.6640625" customWidth="1"/>
    <col min="4100" max="4101" width="11.6640625" customWidth="1"/>
    <col min="4102" max="4102" width="13.33203125" customWidth="1"/>
    <col min="4103" max="4103" width="14.1640625" customWidth="1"/>
    <col min="4104" max="4104" width="13.33203125" customWidth="1"/>
    <col min="4105" max="4105" width="14.1640625" customWidth="1"/>
    <col min="4106" max="4106" width="16.6640625" customWidth="1"/>
    <col min="4107" max="4107" width="17.5" customWidth="1"/>
    <col min="4108" max="4109" width="12.5" customWidth="1"/>
    <col min="4110" max="4110" width="9.1640625" customWidth="1"/>
    <col min="4111" max="4111" width="16.6640625" customWidth="1"/>
    <col min="4112" max="4112" width="12.5" customWidth="1"/>
    <col min="4113" max="4113" width="10" customWidth="1"/>
    <col min="4114" max="4352" width="7.5" customWidth="1"/>
    <col min="4353" max="4353" width="6.6640625" customWidth="1"/>
    <col min="4354" max="4354" width="11.6640625" customWidth="1"/>
    <col min="4355" max="4355" width="16.6640625" customWidth="1"/>
    <col min="4356" max="4357" width="11.6640625" customWidth="1"/>
    <col min="4358" max="4358" width="13.33203125" customWidth="1"/>
    <col min="4359" max="4359" width="14.1640625" customWidth="1"/>
    <col min="4360" max="4360" width="13.33203125" customWidth="1"/>
    <col min="4361" max="4361" width="14.1640625" customWidth="1"/>
    <col min="4362" max="4362" width="16.6640625" customWidth="1"/>
    <col min="4363" max="4363" width="17.5" customWidth="1"/>
    <col min="4364" max="4365" width="12.5" customWidth="1"/>
    <col min="4366" max="4366" width="9.1640625" customWidth="1"/>
    <col min="4367" max="4367" width="16.6640625" customWidth="1"/>
    <col min="4368" max="4368" width="12.5" customWidth="1"/>
    <col min="4369" max="4369" width="10" customWidth="1"/>
    <col min="4370" max="4608" width="7.5" customWidth="1"/>
    <col min="4609" max="4609" width="6.6640625" customWidth="1"/>
    <col min="4610" max="4610" width="11.6640625" customWidth="1"/>
    <col min="4611" max="4611" width="16.6640625" customWidth="1"/>
    <col min="4612" max="4613" width="11.6640625" customWidth="1"/>
    <col min="4614" max="4614" width="13.33203125" customWidth="1"/>
    <col min="4615" max="4615" width="14.1640625" customWidth="1"/>
    <col min="4616" max="4616" width="13.33203125" customWidth="1"/>
    <col min="4617" max="4617" width="14.1640625" customWidth="1"/>
    <col min="4618" max="4618" width="16.6640625" customWidth="1"/>
    <col min="4619" max="4619" width="17.5" customWidth="1"/>
    <col min="4620" max="4621" width="12.5" customWidth="1"/>
    <col min="4622" max="4622" width="9.1640625" customWidth="1"/>
    <col min="4623" max="4623" width="16.6640625" customWidth="1"/>
    <col min="4624" max="4624" width="12.5" customWidth="1"/>
    <col min="4625" max="4625" width="10" customWidth="1"/>
    <col min="4626" max="4864" width="7.5" customWidth="1"/>
    <col min="4865" max="4865" width="6.6640625" customWidth="1"/>
    <col min="4866" max="4866" width="11.6640625" customWidth="1"/>
    <col min="4867" max="4867" width="16.6640625" customWidth="1"/>
    <col min="4868" max="4869" width="11.6640625" customWidth="1"/>
    <col min="4870" max="4870" width="13.33203125" customWidth="1"/>
    <col min="4871" max="4871" width="14.1640625" customWidth="1"/>
    <col min="4872" max="4872" width="13.33203125" customWidth="1"/>
    <col min="4873" max="4873" width="14.1640625" customWidth="1"/>
    <col min="4874" max="4874" width="16.6640625" customWidth="1"/>
    <col min="4875" max="4875" width="17.5" customWidth="1"/>
    <col min="4876" max="4877" width="12.5" customWidth="1"/>
    <col min="4878" max="4878" width="9.1640625" customWidth="1"/>
    <col min="4879" max="4879" width="16.6640625" customWidth="1"/>
    <col min="4880" max="4880" width="12.5" customWidth="1"/>
    <col min="4881" max="4881" width="10" customWidth="1"/>
    <col min="4882" max="5120" width="7.5" customWidth="1"/>
    <col min="5121" max="5121" width="6.6640625" customWidth="1"/>
    <col min="5122" max="5122" width="11.6640625" customWidth="1"/>
    <col min="5123" max="5123" width="16.6640625" customWidth="1"/>
    <col min="5124" max="5125" width="11.6640625" customWidth="1"/>
    <col min="5126" max="5126" width="13.33203125" customWidth="1"/>
    <col min="5127" max="5127" width="14.1640625" customWidth="1"/>
    <col min="5128" max="5128" width="13.33203125" customWidth="1"/>
    <col min="5129" max="5129" width="14.1640625" customWidth="1"/>
    <col min="5130" max="5130" width="16.6640625" customWidth="1"/>
    <col min="5131" max="5131" width="17.5" customWidth="1"/>
    <col min="5132" max="5133" width="12.5" customWidth="1"/>
    <col min="5134" max="5134" width="9.1640625" customWidth="1"/>
    <col min="5135" max="5135" width="16.6640625" customWidth="1"/>
    <col min="5136" max="5136" width="12.5" customWidth="1"/>
    <col min="5137" max="5137" width="10" customWidth="1"/>
    <col min="5138" max="5376" width="7.5" customWidth="1"/>
    <col min="5377" max="5377" width="6.6640625" customWidth="1"/>
    <col min="5378" max="5378" width="11.6640625" customWidth="1"/>
    <col min="5379" max="5379" width="16.6640625" customWidth="1"/>
    <col min="5380" max="5381" width="11.6640625" customWidth="1"/>
    <col min="5382" max="5382" width="13.33203125" customWidth="1"/>
    <col min="5383" max="5383" width="14.1640625" customWidth="1"/>
    <col min="5384" max="5384" width="13.33203125" customWidth="1"/>
    <col min="5385" max="5385" width="14.1640625" customWidth="1"/>
    <col min="5386" max="5386" width="16.6640625" customWidth="1"/>
    <col min="5387" max="5387" width="17.5" customWidth="1"/>
    <col min="5388" max="5389" width="12.5" customWidth="1"/>
    <col min="5390" max="5390" width="9.1640625" customWidth="1"/>
    <col min="5391" max="5391" width="16.6640625" customWidth="1"/>
    <col min="5392" max="5392" width="12.5" customWidth="1"/>
    <col min="5393" max="5393" width="10" customWidth="1"/>
    <col min="5394" max="5632" width="7.5" customWidth="1"/>
    <col min="5633" max="5633" width="6.6640625" customWidth="1"/>
    <col min="5634" max="5634" width="11.6640625" customWidth="1"/>
    <col min="5635" max="5635" width="16.6640625" customWidth="1"/>
    <col min="5636" max="5637" width="11.6640625" customWidth="1"/>
    <col min="5638" max="5638" width="13.33203125" customWidth="1"/>
    <col min="5639" max="5639" width="14.1640625" customWidth="1"/>
    <col min="5640" max="5640" width="13.33203125" customWidth="1"/>
    <col min="5641" max="5641" width="14.1640625" customWidth="1"/>
    <col min="5642" max="5642" width="16.6640625" customWidth="1"/>
    <col min="5643" max="5643" width="17.5" customWidth="1"/>
    <col min="5644" max="5645" width="12.5" customWidth="1"/>
    <col min="5646" max="5646" width="9.1640625" customWidth="1"/>
    <col min="5647" max="5647" width="16.6640625" customWidth="1"/>
    <col min="5648" max="5648" width="12.5" customWidth="1"/>
    <col min="5649" max="5649" width="10" customWidth="1"/>
    <col min="5650" max="5888" width="7.5" customWidth="1"/>
    <col min="5889" max="5889" width="6.6640625" customWidth="1"/>
    <col min="5890" max="5890" width="11.6640625" customWidth="1"/>
    <col min="5891" max="5891" width="16.6640625" customWidth="1"/>
    <col min="5892" max="5893" width="11.6640625" customWidth="1"/>
    <col min="5894" max="5894" width="13.33203125" customWidth="1"/>
    <col min="5895" max="5895" width="14.1640625" customWidth="1"/>
    <col min="5896" max="5896" width="13.33203125" customWidth="1"/>
    <col min="5897" max="5897" width="14.1640625" customWidth="1"/>
    <col min="5898" max="5898" width="16.6640625" customWidth="1"/>
    <col min="5899" max="5899" width="17.5" customWidth="1"/>
    <col min="5900" max="5901" width="12.5" customWidth="1"/>
    <col min="5902" max="5902" width="9.1640625" customWidth="1"/>
    <col min="5903" max="5903" width="16.6640625" customWidth="1"/>
    <col min="5904" max="5904" width="12.5" customWidth="1"/>
    <col min="5905" max="5905" width="10" customWidth="1"/>
    <col min="5906" max="6144" width="7.5" customWidth="1"/>
    <col min="6145" max="6145" width="6.6640625" customWidth="1"/>
    <col min="6146" max="6146" width="11.6640625" customWidth="1"/>
    <col min="6147" max="6147" width="16.6640625" customWidth="1"/>
    <col min="6148" max="6149" width="11.6640625" customWidth="1"/>
    <col min="6150" max="6150" width="13.33203125" customWidth="1"/>
    <col min="6151" max="6151" width="14.1640625" customWidth="1"/>
    <col min="6152" max="6152" width="13.33203125" customWidth="1"/>
    <col min="6153" max="6153" width="14.1640625" customWidth="1"/>
    <col min="6154" max="6154" width="16.6640625" customWidth="1"/>
    <col min="6155" max="6155" width="17.5" customWidth="1"/>
    <col min="6156" max="6157" width="12.5" customWidth="1"/>
    <col min="6158" max="6158" width="9.1640625" customWidth="1"/>
    <col min="6159" max="6159" width="16.6640625" customWidth="1"/>
    <col min="6160" max="6160" width="12.5" customWidth="1"/>
    <col min="6161" max="6161" width="10" customWidth="1"/>
    <col min="6162" max="6400" width="7.5" customWidth="1"/>
    <col min="6401" max="6401" width="6.6640625" customWidth="1"/>
    <col min="6402" max="6402" width="11.6640625" customWidth="1"/>
    <col min="6403" max="6403" width="16.6640625" customWidth="1"/>
    <col min="6404" max="6405" width="11.6640625" customWidth="1"/>
    <col min="6406" max="6406" width="13.33203125" customWidth="1"/>
    <col min="6407" max="6407" width="14.1640625" customWidth="1"/>
    <col min="6408" max="6408" width="13.33203125" customWidth="1"/>
    <col min="6409" max="6409" width="14.1640625" customWidth="1"/>
    <col min="6410" max="6410" width="16.6640625" customWidth="1"/>
    <col min="6411" max="6411" width="17.5" customWidth="1"/>
    <col min="6412" max="6413" width="12.5" customWidth="1"/>
    <col min="6414" max="6414" width="9.1640625" customWidth="1"/>
    <col min="6415" max="6415" width="16.6640625" customWidth="1"/>
    <col min="6416" max="6416" width="12.5" customWidth="1"/>
    <col min="6417" max="6417" width="10" customWidth="1"/>
    <col min="6418" max="6656" width="7.5" customWidth="1"/>
    <col min="6657" max="6657" width="6.6640625" customWidth="1"/>
    <col min="6658" max="6658" width="11.6640625" customWidth="1"/>
    <col min="6659" max="6659" width="16.6640625" customWidth="1"/>
    <col min="6660" max="6661" width="11.6640625" customWidth="1"/>
    <col min="6662" max="6662" width="13.33203125" customWidth="1"/>
    <col min="6663" max="6663" width="14.1640625" customWidth="1"/>
    <col min="6664" max="6664" width="13.33203125" customWidth="1"/>
    <col min="6665" max="6665" width="14.1640625" customWidth="1"/>
    <col min="6666" max="6666" width="16.6640625" customWidth="1"/>
    <col min="6667" max="6667" width="17.5" customWidth="1"/>
    <col min="6668" max="6669" width="12.5" customWidth="1"/>
    <col min="6670" max="6670" width="9.1640625" customWidth="1"/>
    <col min="6671" max="6671" width="16.6640625" customWidth="1"/>
    <col min="6672" max="6672" width="12.5" customWidth="1"/>
    <col min="6673" max="6673" width="10" customWidth="1"/>
    <col min="6674" max="6912" width="7.5" customWidth="1"/>
    <col min="6913" max="6913" width="6.6640625" customWidth="1"/>
    <col min="6914" max="6914" width="11.6640625" customWidth="1"/>
    <col min="6915" max="6915" width="16.6640625" customWidth="1"/>
    <col min="6916" max="6917" width="11.6640625" customWidth="1"/>
    <col min="6918" max="6918" width="13.33203125" customWidth="1"/>
    <col min="6919" max="6919" width="14.1640625" customWidth="1"/>
    <col min="6920" max="6920" width="13.33203125" customWidth="1"/>
    <col min="6921" max="6921" width="14.1640625" customWidth="1"/>
    <col min="6922" max="6922" width="16.6640625" customWidth="1"/>
    <col min="6923" max="6923" width="17.5" customWidth="1"/>
    <col min="6924" max="6925" width="12.5" customWidth="1"/>
    <col min="6926" max="6926" width="9.1640625" customWidth="1"/>
    <col min="6927" max="6927" width="16.6640625" customWidth="1"/>
    <col min="6928" max="6928" width="12.5" customWidth="1"/>
    <col min="6929" max="6929" width="10" customWidth="1"/>
    <col min="6930" max="7168" width="7.5" customWidth="1"/>
    <col min="7169" max="7169" width="6.6640625" customWidth="1"/>
    <col min="7170" max="7170" width="11.6640625" customWidth="1"/>
    <col min="7171" max="7171" width="16.6640625" customWidth="1"/>
    <col min="7172" max="7173" width="11.6640625" customWidth="1"/>
    <col min="7174" max="7174" width="13.33203125" customWidth="1"/>
    <col min="7175" max="7175" width="14.1640625" customWidth="1"/>
    <col min="7176" max="7176" width="13.33203125" customWidth="1"/>
    <col min="7177" max="7177" width="14.1640625" customWidth="1"/>
    <col min="7178" max="7178" width="16.6640625" customWidth="1"/>
    <col min="7179" max="7179" width="17.5" customWidth="1"/>
    <col min="7180" max="7181" width="12.5" customWidth="1"/>
    <col min="7182" max="7182" width="9.1640625" customWidth="1"/>
    <col min="7183" max="7183" width="16.6640625" customWidth="1"/>
    <col min="7184" max="7184" width="12.5" customWidth="1"/>
    <col min="7185" max="7185" width="10" customWidth="1"/>
    <col min="7186" max="7424" width="7.5" customWidth="1"/>
    <col min="7425" max="7425" width="6.6640625" customWidth="1"/>
    <col min="7426" max="7426" width="11.6640625" customWidth="1"/>
    <col min="7427" max="7427" width="16.6640625" customWidth="1"/>
    <col min="7428" max="7429" width="11.6640625" customWidth="1"/>
    <col min="7430" max="7430" width="13.33203125" customWidth="1"/>
    <col min="7431" max="7431" width="14.1640625" customWidth="1"/>
    <col min="7432" max="7432" width="13.33203125" customWidth="1"/>
    <col min="7433" max="7433" width="14.1640625" customWidth="1"/>
    <col min="7434" max="7434" width="16.6640625" customWidth="1"/>
    <col min="7435" max="7435" width="17.5" customWidth="1"/>
    <col min="7436" max="7437" width="12.5" customWidth="1"/>
    <col min="7438" max="7438" width="9.1640625" customWidth="1"/>
    <col min="7439" max="7439" width="16.6640625" customWidth="1"/>
    <col min="7440" max="7440" width="12.5" customWidth="1"/>
    <col min="7441" max="7441" width="10" customWidth="1"/>
    <col min="7442" max="7680" width="7.5" customWidth="1"/>
    <col min="7681" max="7681" width="6.6640625" customWidth="1"/>
    <col min="7682" max="7682" width="11.6640625" customWidth="1"/>
    <col min="7683" max="7683" width="16.6640625" customWidth="1"/>
    <col min="7684" max="7685" width="11.6640625" customWidth="1"/>
    <col min="7686" max="7686" width="13.33203125" customWidth="1"/>
    <col min="7687" max="7687" width="14.1640625" customWidth="1"/>
    <col min="7688" max="7688" width="13.33203125" customWidth="1"/>
    <col min="7689" max="7689" width="14.1640625" customWidth="1"/>
    <col min="7690" max="7690" width="16.6640625" customWidth="1"/>
    <col min="7691" max="7691" width="17.5" customWidth="1"/>
    <col min="7692" max="7693" width="12.5" customWidth="1"/>
    <col min="7694" max="7694" width="9.1640625" customWidth="1"/>
    <col min="7695" max="7695" width="16.6640625" customWidth="1"/>
    <col min="7696" max="7696" width="12.5" customWidth="1"/>
    <col min="7697" max="7697" width="10" customWidth="1"/>
    <col min="7698" max="7936" width="7.5" customWidth="1"/>
    <col min="7937" max="7937" width="6.6640625" customWidth="1"/>
    <col min="7938" max="7938" width="11.6640625" customWidth="1"/>
    <col min="7939" max="7939" width="16.6640625" customWidth="1"/>
    <col min="7940" max="7941" width="11.6640625" customWidth="1"/>
    <col min="7942" max="7942" width="13.33203125" customWidth="1"/>
    <col min="7943" max="7943" width="14.1640625" customWidth="1"/>
    <col min="7944" max="7944" width="13.33203125" customWidth="1"/>
    <col min="7945" max="7945" width="14.1640625" customWidth="1"/>
    <col min="7946" max="7946" width="16.6640625" customWidth="1"/>
    <col min="7947" max="7947" width="17.5" customWidth="1"/>
    <col min="7948" max="7949" width="12.5" customWidth="1"/>
    <col min="7950" max="7950" width="9.1640625" customWidth="1"/>
    <col min="7951" max="7951" width="16.6640625" customWidth="1"/>
    <col min="7952" max="7952" width="12.5" customWidth="1"/>
    <col min="7953" max="7953" width="10" customWidth="1"/>
    <col min="7954" max="8192" width="7.5" customWidth="1"/>
    <col min="8193" max="8193" width="6.6640625" customWidth="1"/>
    <col min="8194" max="8194" width="11.6640625" customWidth="1"/>
    <col min="8195" max="8195" width="16.6640625" customWidth="1"/>
    <col min="8196" max="8197" width="11.6640625" customWidth="1"/>
    <col min="8198" max="8198" width="13.33203125" customWidth="1"/>
    <col min="8199" max="8199" width="14.1640625" customWidth="1"/>
    <col min="8200" max="8200" width="13.33203125" customWidth="1"/>
    <col min="8201" max="8201" width="14.1640625" customWidth="1"/>
    <col min="8202" max="8202" width="16.6640625" customWidth="1"/>
    <col min="8203" max="8203" width="17.5" customWidth="1"/>
    <col min="8204" max="8205" width="12.5" customWidth="1"/>
    <col min="8206" max="8206" width="9.1640625" customWidth="1"/>
    <col min="8207" max="8207" width="16.6640625" customWidth="1"/>
    <col min="8208" max="8208" width="12.5" customWidth="1"/>
    <col min="8209" max="8209" width="10" customWidth="1"/>
    <col min="8210" max="8448" width="7.5" customWidth="1"/>
    <col min="8449" max="8449" width="6.6640625" customWidth="1"/>
    <col min="8450" max="8450" width="11.6640625" customWidth="1"/>
    <col min="8451" max="8451" width="16.6640625" customWidth="1"/>
    <col min="8452" max="8453" width="11.6640625" customWidth="1"/>
    <col min="8454" max="8454" width="13.33203125" customWidth="1"/>
    <col min="8455" max="8455" width="14.1640625" customWidth="1"/>
    <col min="8456" max="8456" width="13.33203125" customWidth="1"/>
    <col min="8457" max="8457" width="14.1640625" customWidth="1"/>
    <col min="8458" max="8458" width="16.6640625" customWidth="1"/>
    <col min="8459" max="8459" width="17.5" customWidth="1"/>
    <col min="8460" max="8461" width="12.5" customWidth="1"/>
    <col min="8462" max="8462" width="9.1640625" customWidth="1"/>
    <col min="8463" max="8463" width="16.6640625" customWidth="1"/>
    <col min="8464" max="8464" width="12.5" customWidth="1"/>
    <col min="8465" max="8465" width="10" customWidth="1"/>
    <col min="8466" max="8704" width="7.5" customWidth="1"/>
    <col min="8705" max="8705" width="6.6640625" customWidth="1"/>
    <col min="8706" max="8706" width="11.6640625" customWidth="1"/>
    <col min="8707" max="8707" width="16.6640625" customWidth="1"/>
    <col min="8708" max="8709" width="11.6640625" customWidth="1"/>
    <col min="8710" max="8710" width="13.33203125" customWidth="1"/>
    <col min="8711" max="8711" width="14.1640625" customWidth="1"/>
    <col min="8712" max="8712" width="13.33203125" customWidth="1"/>
    <col min="8713" max="8713" width="14.1640625" customWidth="1"/>
    <col min="8714" max="8714" width="16.6640625" customWidth="1"/>
    <col min="8715" max="8715" width="17.5" customWidth="1"/>
    <col min="8716" max="8717" width="12.5" customWidth="1"/>
    <col min="8718" max="8718" width="9.1640625" customWidth="1"/>
    <col min="8719" max="8719" width="16.6640625" customWidth="1"/>
    <col min="8720" max="8720" width="12.5" customWidth="1"/>
    <col min="8721" max="8721" width="10" customWidth="1"/>
    <col min="8722" max="8960" width="7.5" customWidth="1"/>
    <col min="8961" max="8961" width="6.6640625" customWidth="1"/>
    <col min="8962" max="8962" width="11.6640625" customWidth="1"/>
    <col min="8963" max="8963" width="16.6640625" customWidth="1"/>
    <col min="8964" max="8965" width="11.6640625" customWidth="1"/>
    <col min="8966" max="8966" width="13.33203125" customWidth="1"/>
    <col min="8967" max="8967" width="14.1640625" customWidth="1"/>
    <col min="8968" max="8968" width="13.33203125" customWidth="1"/>
    <col min="8969" max="8969" width="14.1640625" customWidth="1"/>
    <col min="8970" max="8970" width="16.6640625" customWidth="1"/>
    <col min="8971" max="8971" width="17.5" customWidth="1"/>
    <col min="8972" max="8973" width="12.5" customWidth="1"/>
    <col min="8974" max="8974" width="9.1640625" customWidth="1"/>
    <col min="8975" max="8975" width="16.6640625" customWidth="1"/>
    <col min="8976" max="8976" width="12.5" customWidth="1"/>
    <col min="8977" max="8977" width="10" customWidth="1"/>
    <col min="8978" max="9216" width="7.5" customWidth="1"/>
    <col min="9217" max="9217" width="6.6640625" customWidth="1"/>
    <col min="9218" max="9218" width="11.6640625" customWidth="1"/>
    <col min="9219" max="9219" width="16.6640625" customWidth="1"/>
    <col min="9220" max="9221" width="11.6640625" customWidth="1"/>
    <col min="9222" max="9222" width="13.33203125" customWidth="1"/>
    <col min="9223" max="9223" width="14.1640625" customWidth="1"/>
    <col min="9224" max="9224" width="13.33203125" customWidth="1"/>
    <col min="9225" max="9225" width="14.1640625" customWidth="1"/>
    <col min="9226" max="9226" width="16.6640625" customWidth="1"/>
    <col min="9227" max="9227" width="17.5" customWidth="1"/>
    <col min="9228" max="9229" width="12.5" customWidth="1"/>
    <col min="9230" max="9230" width="9.1640625" customWidth="1"/>
    <col min="9231" max="9231" width="16.6640625" customWidth="1"/>
    <col min="9232" max="9232" width="12.5" customWidth="1"/>
    <col min="9233" max="9233" width="10" customWidth="1"/>
    <col min="9234" max="9472" width="7.5" customWidth="1"/>
    <col min="9473" max="9473" width="6.6640625" customWidth="1"/>
    <col min="9474" max="9474" width="11.6640625" customWidth="1"/>
    <col min="9475" max="9475" width="16.6640625" customWidth="1"/>
    <col min="9476" max="9477" width="11.6640625" customWidth="1"/>
    <col min="9478" max="9478" width="13.33203125" customWidth="1"/>
    <col min="9479" max="9479" width="14.1640625" customWidth="1"/>
    <col min="9480" max="9480" width="13.33203125" customWidth="1"/>
    <col min="9481" max="9481" width="14.1640625" customWidth="1"/>
    <col min="9482" max="9482" width="16.6640625" customWidth="1"/>
    <col min="9483" max="9483" width="17.5" customWidth="1"/>
    <col min="9484" max="9485" width="12.5" customWidth="1"/>
    <col min="9486" max="9486" width="9.1640625" customWidth="1"/>
    <col min="9487" max="9487" width="16.6640625" customWidth="1"/>
    <col min="9488" max="9488" width="12.5" customWidth="1"/>
    <col min="9489" max="9489" width="10" customWidth="1"/>
    <col min="9490" max="9728" width="7.5" customWidth="1"/>
    <col min="9729" max="9729" width="6.6640625" customWidth="1"/>
    <col min="9730" max="9730" width="11.6640625" customWidth="1"/>
    <col min="9731" max="9731" width="16.6640625" customWidth="1"/>
    <col min="9732" max="9733" width="11.6640625" customWidth="1"/>
    <col min="9734" max="9734" width="13.33203125" customWidth="1"/>
    <col min="9735" max="9735" width="14.1640625" customWidth="1"/>
    <col min="9736" max="9736" width="13.33203125" customWidth="1"/>
    <col min="9737" max="9737" width="14.1640625" customWidth="1"/>
    <col min="9738" max="9738" width="16.6640625" customWidth="1"/>
    <col min="9739" max="9739" width="17.5" customWidth="1"/>
    <col min="9740" max="9741" width="12.5" customWidth="1"/>
    <col min="9742" max="9742" width="9.1640625" customWidth="1"/>
    <col min="9743" max="9743" width="16.6640625" customWidth="1"/>
    <col min="9744" max="9744" width="12.5" customWidth="1"/>
    <col min="9745" max="9745" width="10" customWidth="1"/>
    <col min="9746" max="9984" width="7.5" customWidth="1"/>
    <col min="9985" max="9985" width="6.6640625" customWidth="1"/>
    <col min="9986" max="9986" width="11.6640625" customWidth="1"/>
    <col min="9987" max="9987" width="16.6640625" customWidth="1"/>
    <col min="9988" max="9989" width="11.6640625" customWidth="1"/>
    <col min="9990" max="9990" width="13.33203125" customWidth="1"/>
    <col min="9991" max="9991" width="14.1640625" customWidth="1"/>
    <col min="9992" max="9992" width="13.33203125" customWidth="1"/>
    <col min="9993" max="9993" width="14.1640625" customWidth="1"/>
    <col min="9994" max="9994" width="16.6640625" customWidth="1"/>
    <col min="9995" max="9995" width="17.5" customWidth="1"/>
    <col min="9996" max="9997" width="12.5" customWidth="1"/>
    <col min="9998" max="9998" width="9.1640625" customWidth="1"/>
    <col min="9999" max="9999" width="16.6640625" customWidth="1"/>
    <col min="10000" max="10000" width="12.5" customWidth="1"/>
    <col min="10001" max="10001" width="10" customWidth="1"/>
    <col min="10002" max="10240" width="7.5" customWidth="1"/>
    <col min="10241" max="10241" width="6.6640625" customWidth="1"/>
    <col min="10242" max="10242" width="11.6640625" customWidth="1"/>
    <col min="10243" max="10243" width="16.6640625" customWidth="1"/>
    <col min="10244" max="10245" width="11.6640625" customWidth="1"/>
    <col min="10246" max="10246" width="13.33203125" customWidth="1"/>
    <col min="10247" max="10247" width="14.1640625" customWidth="1"/>
    <col min="10248" max="10248" width="13.33203125" customWidth="1"/>
    <col min="10249" max="10249" width="14.1640625" customWidth="1"/>
    <col min="10250" max="10250" width="16.6640625" customWidth="1"/>
    <col min="10251" max="10251" width="17.5" customWidth="1"/>
    <col min="10252" max="10253" width="12.5" customWidth="1"/>
    <col min="10254" max="10254" width="9.1640625" customWidth="1"/>
    <col min="10255" max="10255" width="16.6640625" customWidth="1"/>
    <col min="10256" max="10256" width="12.5" customWidth="1"/>
    <col min="10257" max="10257" width="10" customWidth="1"/>
    <col min="10258" max="10496" width="7.5" customWidth="1"/>
    <col min="10497" max="10497" width="6.6640625" customWidth="1"/>
    <col min="10498" max="10498" width="11.6640625" customWidth="1"/>
    <col min="10499" max="10499" width="16.6640625" customWidth="1"/>
    <col min="10500" max="10501" width="11.6640625" customWidth="1"/>
    <col min="10502" max="10502" width="13.33203125" customWidth="1"/>
    <col min="10503" max="10503" width="14.1640625" customWidth="1"/>
    <col min="10504" max="10504" width="13.33203125" customWidth="1"/>
    <col min="10505" max="10505" width="14.1640625" customWidth="1"/>
    <col min="10506" max="10506" width="16.6640625" customWidth="1"/>
    <col min="10507" max="10507" width="17.5" customWidth="1"/>
    <col min="10508" max="10509" width="12.5" customWidth="1"/>
    <col min="10510" max="10510" width="9.1640625" customWidth="1"/>
    <col min="10511" max="10511" width="16.6640625" customWidth="1"/>
    <col min="10512" max="10512" width="12.5" customWidth="1"/>
    <col min="10513" max="10513" width="10" customWidth="1"/>
    <col min="10514" max="10752" width="7.5" customWidth="1"/>
    <col min="10753" max="10753" width="6.6640625" customWidth="1"/>
    <col min="10754" max="10754" width="11.6640625" customWidth="1"/>
    <col min="10755" max="10755" width="16.6640625" customWidth="1"/>
    <col min="10756" max="10757" width="11.6640625" customWidth="1"/>
    <col min="10758" max="10758" width="13.33203125" customWidth="1"/>
    <col min="10759" max="10759" width="14.1640625" customWidth="1"/>
    <col min="10760" max="10760" width="13.33203125" customWidth="1"/>
    <col min="10761" max="10761" width="14.1640625" customWidth="1"/>
    <col min="10762" max="10762" width="16.6640625" customWidth="1"/>
    <col min="10763" max="10763" width="17.5" customWidth="1"/>
    <col min="10764" max="10765" width="12.5" customWidth="1"/>
    <col min="10766" max="10766" width="9.1640625" customWidth="1"/>
    <col min="10767" max="10767" width="16.6640625" customWidth="1"/>
    <col min="10768" max="10768" width="12.5" customWidth="1"/>
    <col min="10769" max="10769" width="10" customWidth="1"/>
    <col min="10770" max="11008" width="7.5" customWidth="1"/>
    <col min="11009" max="11009" width="6.6640625" customWidth="1"/>
    <col min="11010" max="11010" width="11.6640625" customWidth="1"/>
    <col min="11011" max="11011" width="16.6640625" customWidth="1"/>
    <col min="11012" max="11013" width="11.6640625" customWidth="1"/>
    <col min="11014" max="11014" width="13.33203125" customWidth="1"/>
    <col min="11015" max="11015" width="14.1640625" customWidth="1"/>
    <col min="11016" max="11016" width="13.33203125" customWidth="1"/>
    <col min="11017" max="11017" width="14.1640625" customWidth="1"/>
    <col min="11018" max="11018" width="16.6640625" customWidth="1"/>
    <col min="11019" max="11019" width="17.5" customWidth="1"/>
    <col min="11020" max="11021" width="12.5" customWidth="1"/>
    <col min="11022" max="11022" width="9.1640625" customWidth="1"/>
    <col min="11023" max="11023" width="16.6640625" customWidth="1"/>
    <col min="11024" max="11024" width="12.5" customWidth="1"/>
    <col min="11025" max="11025" width="10" customWidth="1"/>
    <col min="11026" max="11264" width="7.5" customWidth="1"/>
    <col min="11265" max="11265" width="6.6640625" customWidth="1"/>
    <col min="11266" max="11266" width="11.6640625" customWidth="1"/>
    <col min="11267" max="11267" width="16.6640625" customWidth="1"/>
    <col min="11268" max="11269" width="11.6640625" customWidth="1"/>
    <col min="11270" max="11270" width="13.33203125" customWidth="1"/>
    <col min="11271" max="11271" width="14.1640625" customWidth="1"/>
    <col min="11272" max="11272" width="13.33203125" customWidth="1"/>
    <col min="11273" max="11273" width="14.1640625" customWidth="1"/>
    <col min="11274" max="11274" width="16.6640625" customWidth="1"/>
    <col min="11275" max="11275" width="17.5" customWidth="1"/>
    <col min="11276" max="11277" width="12.5" customWidth="1"/>
    <col min="11278" max="11278" width="9.1640625" customWidth="1"/>
    <col min="11279" max="11279" width="16.6640625" customWidth="1"/>
    <col min="11280" max="11280" width="12.5" customWidth="1"/>
    <col min="11281" max="11281" width="10" customWidth="1"/>
    <col min="11282" max="11520" width="7.5" customWidth="1"/>
    <col min="11521" max="11521" width="6.6640625" customWidth="1"/>
    <col min="11522" max="11522" width="11.6640625" customWidth="1"/>
    <col min="11523" max="11523" width="16.6640625" customWidth="1"/>
    <col min="11524" max="11525" width="11.6640625" customWidth="1"/>
    <col min="11526" max="11526" width="13.33203125" customWidth="1"/>
    <col min="11527" max="11527" width="14.1640625" customWidth="1"/>
    <col min="11528" max="11528" width="13.33203125" customWidth="1"/>
    <col min="11529" max="11529" width="14.1640625" customWidth="1"/>
    <col min="11530" max="11530" width="16.6640625" customWidth="1"/>
    <col min="11531" max="11531" width="17.5" customWidth="1"/>
    <col min="11532" max="11533" width="12.5" customWidth="1"/>
    <col min="11534" max="11534" width="9.1640625" customWidth="1"/>
    <col min="11535" max="11535" width="16.6640625" customWidth="1"/>
    <col min="11536" max="11536" width="12.5" customWidth="1"/>
    <col min="11537" max="11537" width="10" customWidth="1"/>
    <col min="11538" max="11776" width="7.5" customWidth="1"/>
    <col min="11777" max="11777" width="6.6640625" customWidth="1"/>
    <col min="11778" max="11778" width="11.6640625" customWidth="1"/>
    <col min="11779" max="11779" width="16.6640625" customWidth="1"/>
    <col min="11780" max="11781" width="11.6640625" customWidth="1"/>
    <col min="11782" max="11782" width="13.33203125" customWidth="1"/>
    <col min="11783" max="11783" width="14.1640625" customWidth="1"/>
    <col min="11784" max="11784" width="13.33203125" customWidth="1"/>
    <col min="11785" max="11785" width="14.1640625" customWidth="1"/>
    <col min="11786" max="11786" width="16.6640625" customWidth="1"/>
    <col min="11787" max="11787" width="17.5" customWidth="1"/>
    <col min="11788" max="11789" width="12.5" customWidth="1"/>
    <col min="11790" max="11790" width="9.1640625" customWidth="1"/>
    <col min="11791" max="11791" width="16.6640625" customWidth="1"/>
    <col min="11792" max="11792" width="12.5" customWidth="1"/>
    <col min="11793" max="11793" width="10" customWidth="1"/>
    <col min="11794" max="12032" width="7.5" customWidth="1"/>
    <col min="12033" max="12033" width="6.6640625" customWidth="1"/>
    <col min="12034" max="12034" width="11.6640625" customWidth="1"/>
    <col min="12035" max="12035" width="16.6640625" customWidth="1"/>
    <col min="12036" max="12037" width="11.6640625" customWidth="1"/>
    <col min="12038" max="12038" width="13.33203125" customWidth="1"/>
    <col min="12039" max="12039" width="14.1640625" customWidth="1"/>
    <col min="12040" max="12040" width="13.33203125" customWidth="1"/>
    <col min="12041" max="12041" width="14.1640625" customWidth="1"/>
    <col min="12042" max="12042" width="16.6640625" customWidth="1"/>
    <col min="12043" max="12043" width="17.5" customWidth="1"/>
    <col min="12044" max="12045" width="12.5" customWidth="1"/>
    <col min="12046" max="12046" width="9.1640625" customWidth="1"/>
    <col min="12047" max="12047" width="16.6640625" customWidth="1"/>
    <col min="12048" max="12048" width="12.5" customWidth="1"/>
    <col min="12049" max="12049" width="10" customWidth="1"/>
    <col min="12050" max="12288" width="7.5" customWidth="1"/>
    <col min="12289" max="12289" width="6.6640625" customWidth="1"/>
    <col min="12290" max="12290" width="11.6640625" customWidth="1"/>
    <col min="12291" max="12291" width="16.6640625" customWidth="1"/>
    <col min="12292" max="12293" width="11.6640625" customWidth="1"/>
    <col min="12294" max="12294" width="13.33203125" customWidth="1"/>
    <col min="12295" max="12295" width="14.1640625" customWidth="1"/>
    <col min="12296" max="12296" width="13.33203125" customWidth="1"/>
    <col min="12297" max="12297" width="14.1640625" customWidth="1"/>
    <col min="12298" max="12298" width="16.6640625" customWidth="1"/>
    <col min="12299" max="12299" width="17.5" customWidth="1"/>
    <col min="12300" max="12301" width="12.5" customWidth="1"/>
    <col min="12302" max="12302" width="9.1640625" customWidth="1"/>
    <col min="12303" max="12303" width="16.6640625" customWidth="1"/>
    <col min="12304" max="12304" width="12.5" customWidth="1"/>
    <col min="12305" max="12305" width="10" customWidth="1"/>
    <col min="12306" max="12544" width="7.5" customWidth="1"/>
    <col min="12545" max="12545" width="6.6640625" customWidth="1"/>
    <col min="12546" max="12546" width="11.6640625" customWidth="1"/>
    <col min="12547" max="12547" width="16.6640625" customWidth="1"/>
    <col min="12548" max="12549" width="11.6640625" customWidth="1"/>
    <col min="12550" max="12550" width="13.33203125" customWidth="1"/>
    <col min="12551" max="12551" width="14.1640625" customWidth="1"/>
    <col min="12552" max="12552" width="13.33203125" customWidth="1"/>
    <col min="12553" max="12553" width="14.1640625" customWidth="1"/>
    <col min="12554" max="12554" width="16.6640625" customWidth="1"/>
    <col min="12555" max="12555" width="17.5" customWidth="1"/>
    <col min="12556" max="12557" width="12.5" customWidth="1"/>
    <col min="12558" max="12558" width="9.1640625" customWidth="1"/>
    <col min="12559" max="12559" width="16.6640625" customWidth="1"/>
    <col min="12560" max="12560" width="12.5" customWidth="1"/>
    <col min="12561" max="12561" width="10" customWidth="1"/>
    <col min="12562" max="12800" width="7.5" customWidth="1"/>
    <col min="12801" max="12801" width="6.6640625" customWidth="1"/>
    <col min="12802" max="12802" width="11.6640625" customWidth="1"/>
    <col min="12803" max="12803" width="16.6640625" customWidth="1"/>
    <col min="12804" max="12805" width="11.6640625" customWidth="1"/>
    <col min="12806" max="12806" width="13.33203125" customWidth="1"/>
    <col min="12807" max="12807" width="14.1640625" customWidth="1"/>
    <col min="12808" max="12808" width="13.33203125" customWidth="1"/>
    <col min="12809" max="12809" width="14.1640625" customWidth="1"/>
    <col min="12810" max="12810" width="16.6640625" customWidth="1"/>
    <col min="12811" max="12811" width="17.5" customWidth="1"/>
    <col min="12812" max="12813" width="12.5" customWidth="1"/>
    <col min="12814" max="12814" width="9.1640625" customWidth="1"/>
    <col min="12815" max="12815" width="16.6640625" customWidth="1"/>
    <col min="12816" max="12816" width="12.5" customWidth="1"/>
    <col min="12817" max="12817" width="10" customWidth="1"/>
    <col min="12818" max="13056" width="7.5" customWidth="1"/>
    <col min="13057" max="13057" width="6.6640625" customWidth="1"/>
    <col min="13058" max="13058" width="11.6640625" customWidth="1"/>
    <col min="13059" max="13059" width="16.6640625" customWidth="1"/>
    <col min="13060" max="13061" width="11.6640625" customWidth="1"/>
    <col min="13062" max="13062" width="13.33203125" customWidth="1"/>
    <col min="13063" max="13063" width="14.1640625" customWidth="1"/>
    <col min="13064" max="13064" width="13.33203125" customWidth="1"/>
    <col min="13065" max="13065" width="14.1640625" customWidth="1"/>
    <col min="13066" max="13066" width="16.6640625" customWidth="1"/>
    <col min="13067" max="13067" width="17.5" customWidth="1"/>
    <col min="13068" max="13069" width="12.5" customWidth="1"/>
    <col min="13070" max="13070" width="9.1640625" customWidth="1"/>
    <col min="13071" max="13071" width="16.6640625" customWidth="1"/>
    <col min="13072" max="13072" width="12.5" customWidth="1"/>
    <col min="13073" max="13073" width="10" customWidth="1"/>
    <col min="13074" max="13312" width="7.5" customWidth="1"/>
    <col min="13313" max="13313" width="6.6640625" customWidth="1"/>
    <col min="13314" max="13314" width="11.6640625" customWidth="1"/>
    <col min="13315" max="13315" width="16.6640625" customWidth="1"/>
    <col min="13316" max="13317" width="11.6640625" customWidth="1"/>
    <col min="13318" max="13318" width="13.33203125" customWidth="1"/>
    <col min="13319" max="13319" width="14.1640625" customWidth="1"/>
    <col min="13320" max="13320" width="13.33203125" customWidth="1"/>
    <col min="13321" max="13321" width="14.1640625" customWidth="1"/>
    <col min="13322" max="13322" width="16.6640625" customWidth="1"/>
    <col min="13323" max="13323" width="17.5" customWidth="1"/>
    <col min="13324" max="13325" width="12.5" customWidth="1"/>
    <col min="13326" max="13326" width="9.1640625" customWidth="1"/>
    <col min="13327" max="13327" width="16.6640625" customWidth="1"/>
    <col min="13328" max="13328" width="12.5" customWidth="1"/>
    <col min="13329" max="13329" width="10" customWidth="1"/>
    <col min="13330" max="13568" width="7.5" customWidth="1"/>
    <col min="13569" max="13569" width="6.6640625" customWidth="1"/>
    <col min="13570" max="13570" width="11.6640625" customWidth="1"/>
    <col min="13571" max="13571" width="16.6640625" customWidth="1"/>
    <col min="13572" max="13573" width="11.6640625" customWidth="1"/>
    <col min="13574" max="13574" width="13.33203125" customWidth="1"/>
    <col min="13575" max="13575" width="14.1640625" customWidth="1"/>
    <col min="13576" max="13576" width="13.33203125" customWidth="1"/>
    <col min="13577" max="13577" width="14.1640625" customWidth="1"/>
    <col min="13578" max="13578" width="16.6640625" customWidth="1"/>
    <col min="13579" max="13579" width="17.5" customWidth="1"/>
    <col min="13580" max="13581" width="12.5" customWidth="1"/>
    <col min="13582" max="13582" width="9.1640625" customWidth="1"/>
    <col min="13583" max="13583" width="16.6640625" customWidth="1"/>
    <col min="13584" max="13584" width="12.5" customWidth="1"/>
    <col min="13585" max="13585" width="10" customWidth="1"/>
    <col min="13586" max="13824" width="7.5" customWidth="1"/>
    <col min="13825" max="13825" width="6.6640625" customWidth="1"/>
    <col min="13826" max="13826" width="11.6640625" customWidth="1"/>
    <col min="13827" max="13827" width="16.6640625" customWidth="1"/>
    <col min="13828" max="13829" width="11.6640625" customWidth="1"/>
    <col min="13830" max="13830" width="13.33203125" customWidth="1"/>
    <col min="13831" max="13831" width="14.1640625" customWidth="1"/>
    <col min="13832" max="13832" width="13.33203125" customWidth="1"/>
    <col min="13833" max="13833" width="14.1640625" customWidth="1"/>
    <col min="13834" max="13834" width="16.6640625" customWidth="1"/>
    <col min="13835" max="13835" width="17.5" customWidth="1"/>
    <col min="13836" max="13837" width="12.5" customWidth="1"/>
    <col min="13838" max="13838" width="9.1640625" customWidth="1"/>
    <col min="13839" max="13839" width="16.6640625" customWidth="1"/>
    <col min="13840" max="13840" width="12.5" customWidth="1"/>
    <col min="13841" max="13841" width="10" customWidth="1"/>
    <col min="13842" max="14080" width="7.5" customWidth="1"/>
    <col min="14081" max="14081" width="6.6640625" customWidth="1"/>
    <col min="14082" max="14082" width="11.6640625" customWidth="1"/>
    <col min="14083" max="14083" width="16.6640625" customWidth="1"/>
    <col min="14084" max="14085" width="11.6640625" customWidth="1"/>
    <col min="14086" max="14086" width="13.33203125" customWidth="1"/>
    <col min="14087" max="14087" width="14.1640625" customWidth="1"/>
    <col min="14088" max="14088" width="13.33203125" customWidth="1"/>
    <col min="14089" max="14089" width="14.1640625" customWidth="1"/>
    <col min="14090" max="14090" width="16.6640625" customWidth="1"/>
    <col min="14091" max="14091" width="17.5" customWidth="1"/>
    <col min="14092" max="14093" width="12.5" customWidth="1"/>
    <col min="14094" max="14094" width="9.1640625" customWidth="1"/>
    <col min="14095" max="14095" width="16.6640625" customWidth="1"/>
    <col min="14096" max="14096" width="12.5" customWidth="1"/>
    <col min="14097" max="14097" width="10" customWidth="1"/>
    <col min="14098" max="14336" width="7.5" customWidth="1"/>
    <col min="14337" max="14337" width="6.6640625" customWidth="1"/>
    <col min="14338" max="14338" width="11.6640625" customWidth="1"/>
    <col min="14339" max="14339" width="16.6640625" customWidth="1"/>
    <col min="14340" max="14341" width="11.6640625" customWidth="1"/>
    <col min="14342" max="14342" width="13.33203125" customWidth="1"/>
    <col min="14343" max="14343" width="14.1640625" customWidth="1"/>
    <col min="14344" max="14344" width="13.33203125" customWidth="1"/>
    <col min="14345" max="14345" width="14.1640625" customWidth="1"/>
    <col min="14346" max="14346" width="16.6640625" customWidth="1"/>
    <col min="14347" max="14347" width="17.5" customWidth="1"/>
    <col min="14348" max="14349" width="12.5" customWidth="1"/>
    <col min="14350" max="14350" width="9.1640625" customWidth="1"/>
    <col min="14351" max="14351" width="16.6640625" customWidth="1"/>
    <col min="14352" max="14352" width="12.5" customWidth="1"/>
    <col min="14353" max="14353" width="10" customWidth="1"/>
    <col min="14354" max="14592" width="7.5" customWidth="1"/>
    <col min="14593" max="14593" width="6.6640625" customWidth="1"/>
    <col min="14594" max="14594" width="11.6640625" customWidth="1"/>
    <col min="14595" max="14595" width="16.6640625" customWidth="1"/>
    <col min="14596" max="14597" width="11.6640625" customWidth="1"/>
    <col min="14598" max="14598" width="13.33203125" customWidth="1"/>
    <col min="14599" max="14599" width="14.1640625" customWidth="1"/>
    <col min="14600" max="14600" width="13.33203125" customWidth="1"/>
    <col min="14601" max="14601" width="14.1640625" customWidth="1"/>
    <col min="14602" max="14602" width="16.6640625" customWidth="1"/>
    <col min="14603" max="14603" width="17.5" customWidth="1"/>
    <col min="14604" max="14605" width="12.5" customWidth="1"/>
    <col min="14606" max="14606" width="9.1640625" customWidth="1"/>
    <col min="14607" max="14607" width="16.6640625" customWidth="1"/>
    <col min="14608" max="14608" width="12.5" customWidth="1"/>
    <col min="14609" max="14609" width="10" customWidth="1"/>
    <col min="14610" max="14848" width="7.5" customWidth="1"/>
    <col min="14849" max="14849" width="6.6640625" customWidth="1"/>
    <col min="14850" max="14850" width="11.6640625" customWidth="1"/>
    <col min="14851" max="14851" width="16.6640625" customWidth="1"/>
    <col min="14852" max="14853" width="11.6640625" customWidth="1"/>
    <col min="14854" max="14854" width="13.33203125" customWidth="1"/>
    <col min="14855" max="14855" width="14.1640625" customWidth="1"/>
    <col min="14856" max="14856" width="13.33203125" customWidth="1"/>
    <col min="14857" max="14857" width="14.1640625" customWidth="1"/>
    <col min="14858" max="14858" width="16.6640625" customWidth="1"/>
    <col min="14859" max="14859" width="17.5" customWidth="1"/>
    <col min="14860" max="14861" width="12.5" customWidth="1"/>
    <col min="14862" max="14862" width="9.1640625" customWidth="1"/>
    <col min="14863" max="14863" width="16.6640625" customWidth="1"/>
    <col min="14864" max="14864" width="12.5" customWidth="1"/>
    <col min="14865" max="14865" width="10" customWidth="1"/>
    <col min="14866" max="15104" width="7.5" customWidth="1"/>
    <col min="15105" max="15105" width="6.6640625" customWidth="1"/>
    <col min="15106" max="15106" width="11.6640625" customWidth="1"/>
    <col min="15107" max="15107" width="16.6640625" customWidth="1"/>
    <col min="15108" max="15109" width="11.6640625" customWidth="1"/>
    <col min="15110" max="15110" width="13.33203125" customWidth="1"/>
    <col min="15111" max="15111" width="14.1640625" customWidth="1"/>
    <col min="15112" max="15112" width="13.33203125" customWidth="1"/>
    <col min="15113" max="15113" width="14.1640625" customWidth="1"/>
    <col min="15114" max="15114" width="16.6640625" customWidth="1"/>
    <col min="15115" max="15115" width="17.5" customWidth="1"/>
    <col min="15116" max="15117" width="12.5" customWidth="1"/>
    <col min="15118" max="15118" width="9.1640625" customWidth="1"/>
    <col min="15119" max="15119" width="16.6640625" customWidth="1"/>
    <col min="15120" max="15120" width="12.5" customWidth="1"/>
    <col min="15121" max="15121" width="10" customWidth="1"/>
    <col min="15122" max="15360" width="7.5" customWidth="1"/>
    <col min="15361" max="15361" width="6.6640625" customWidth="1"/>
    <col min="15362" max="15362" width="11.6640625" customWidth="1"/>
    <col min="15363" max="15363" width="16.6640625" customWidth="1"/>
    <col min="15364" max="15365" width="11.6640625" customWidth="1"/>
    <col min="15366" max="15366" width="13.33203125" customWidth="1"/>
    <col min="15367" max="15367" width="14.1640625" customWidth="1"/>
    <col min="15368" max="15368" width="13.33203125" customWidth="1"/>
    <col min="15369" max="15369" width="14.1640625" customWidth="1"/>
    <col min="15370" max="15370" width="16.6640625" customWidth="1"/>
    <col min="15371" max="15371" width="17.5" customWidth="1"/>
    <col min="15372" max="15373" width="12.5" customWidth="1"/>
    <col min="15374" max="15374" width="9.1640625" customWidth="1"/>
    <col min="15375" max="15375" width="16.6640625" customWidth="1"/>
    <col min="15376" max="15376" width="12.5" customWidth="1"/>
    <col min="15377" max="15377" width="10" customWidth="1"/>
    <col min="15378" max="15616" width="7.5" customWidth="1"/>
    <col min="15617" max="15617" width="6.6640625" customWidth="1"/>
    <col min="15618" max="15618" width="11.6640625" customWidth="1"/>
    <col min="15619" max="15619" width="16.6640625" customWidth="1"/>
    <col min="15620" max="15621" width="11.6640625" customWidth="1"/>
    <col min="15622" max="15622" width="13.33203125" customWidth="1"/>
    <col min="15623" max="15623" width="14.1640625" customWidth="1"/>
    <col min="15624" max="15624" width="13.33203125" customWidth="1"/>
    <col min="15625" max="15625" width="14.1640625" customWidth="1"/>
    <col min="15626" max="15626" width="16.6640625" customWidth="1"/>
    <col min="15627" max="15627" width="17.5" customWidth="1"/>
    <col min="15628" max="15629" width="12.5" customWidth="1"/>
    <col min="15630" max="15630" width="9.1640625" customWidth="1"/>
    <col min="15631" max="15631" width="16.6640625" customWidth="1"/>
    <col min="15632" max="15632" width="12.5" customWidth="1"/>
    <col min="15633" max="15633" width="10" customWidth="1"/>
    <col min="15634" max="15872" width="7.5" customWidth="1"/>
    <col min="15873" max="15873" width="6.6640625" customWidth="1"/>
    <col min="15874" max="15874" width="11.6640625" customWidth="1"/>
    <col min="15875" max="15875" width="16.6640625" customWidth="1"/>
    <col min="15876" max="15877" width="11.6640625" customWidth="1"/>
    <col min="15878" max="15878" width="13.33203125" customWidth="1"/>
    <col min="15879" max="15879" width="14.1640625" customWidth="1"/>
    <col min="15880" max="15880" width="13.33203125" customWidth="1"/>
    <col min="15881" max="15881" width="14.1640625" customWidth="1"/>
    <col min="15882" max="15882" width="16.6640625" customWidth="1"/>
    <col min="15883" max="15883" width="17.5" customWidth="1"/>
    <col min="15884" max="15885" width="12.5" customWidth="1"/>
    <col min="15886" max="15886" width="9.1640625" customWidth="1"/>
    <col min="15887" max="15887" width="16.6640625" customWidth="1"/>
    <col min="15888" max="15888" width="12.5" customWidth="1"/>
    <col min="15889" max="15889" width="10" customWidth="1"/>
    <col min="15890" max="16128" width="7.5" customWidth="1"/>
    <col min="16129" max="16129" width="6.6640625" customWidth="1"/>
    <col min="16130" max="16130" width="11.6640625" customWidth="1"/>
    <col min="16131" max="16131" width="16.6640625" customWidth="1"/>
    <col min="16132" max="16133" width="11.6640625" customWidth="1"/>
    <col min="16134" max="16134" width="13.33203125" customWidth="1"/>
    <col min="16135" max="16135" width="14.1640625" customWidth="1"/>
    <col min="16136" max="16136" width="13.33203125" customWidth="1"/>
    <col min="16137" max="16137" width="14.1640625" customWidth="1"/>
    <col min="16138" max="16138" width="16.6640625" customWidth="1"/>
    <col min="16139" max="16139" width="17.5" customWidth="1"/>
    <col min="16140" max="16141" width="12.5" customWidth="1"/>
    <col min="16142" max="16142" width="9.1640625" customWidth="1"/>
    <col min="16143" max="16143" width="16.6640625" customWidth="1"/>
    <col min="16144" max="16144" width="12.5" customWidth="1"/>
    <col min="16145" max="16145" width="10" customWidth="1"/>
    <col min="16146" max="16384" width="7.5" customWidth="1"/>
  </cols>
  <sheetData>
    <row r="1" spans="1:19" ht="23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S1" s="1" t="s">
        <v>17</v>
      </c>
    </row>
    <row r="2" spans="1:19">
      <c r="A2" s="2">
        <v>40179</v>
      </c>
      <c r="B2" s="3">
        <v>1.5185718612903225</v>
      </c>
      <c r="C2" s="3">
        <v>1.5185718612903225</v>
      </c>
      <c r="D2" s="3">
        <v>1.5185718612903225</v>
      </c>
      <c r="E2" s="4">
        <v>2.8126338290322584E-3</v>
      </c>
      <c r="F2" s="5">
        <v>5995.4592700000012</v>
      </c>
      <c r="G2" s="5">
        <v>182.46400919999999</v>
      </c>
      <c r="H2" s="6">
        <v>11.561667734800809</v>
      </c>
      <c r="I2" s="4">
        <v>0.50686824027195054</v>
      </c>
      <c r="J2" s="5">
        <v>1474.0480878852284</v>
      </c>
      <c r="K2" s="6">
        <v>44.860737740570087</v>
      </c>
      <c r="L2" s="5">
        <v>659.517979452899</v>
      </c>
      <c r="M2" s="6">
        <v>14.199556206844431</v>
      </c>
      <c r="N2" s="6">
        <v>34.710748371000001</v>
      </c>
      <c r="O2" s="3">
        <v>8.4671876562000001</v>
      </c>
      <c r="P2" s="6">
        <v>-9.3848387387096786</v>
      </c>
      <c r="Q2" s="6">
        <v>5.5308157754193558E-4</v>
      </c>
      <c r="S2" t="e">
        <f>100*(AVERAGE(#REF!)/AVERAGE(#REF!))</f>
        <v>#REF!</v>
      </c>
    </row>
    <row r="3" spans="1:19" ht="98" customHeight="1">
      <c r="A3" s="2">
        <v>40210</v>
      </c>
      <c r="B3" s="4">
        <v>0.86950819607142837</v>
      </c>
      <c r="C3" s="4">
        <v>0.86950819607142837</v>
      </c>
      <c r="D3" s="4">
        <v>0.86950819607142837</v>
      </c>
      <c r="E3" s="4">
        <v>1.6924764071428572E-3</v>
      </c>
      <c r="F3" s="5">
        <v>2977.8027109999998</v>
      </c>
      <c r="G3" s="6">
        <v>68.834141500000015</v>
      </c>
      <c r="H3" s="3">
        <v>5.1481769610710204</v>
      </c>
      <c r="I3" s="4">
        <v>0.20165425808120044</v>
      </c>
      <c r="J3" s="5">
        <v>1415.6322305902963</v>
      </c>
      <c r="K3" s="6">
        <v>32.723400617104559</v>
      </c>
      <c r="L3" s="5">
        <v>651.92752294904074</v>
      </c>
      <c r="M3" s="6">
        <v>12.26914614130286</v>
      </c>
      <c r="N3" s="6">
        <v>39.554280304299994</v>
      </c>
      <c r="O3" s="3">
        <v>9.6613405070000002</v>
      </c>
      <c r="P3" s="6">
        <v>-7.0678571432142858</v>
      </c>
      <c r="Q3" s="6">
        <v>4.0846930089285724E-4</v>
      </c>
    </row>
    <row r="4" spans="1:19">
      <c r="A4" s="2">
        <v>40238</v>
      </c>
      <c r="B4" s="3">
        <v>1.6822262438709681</v>
      </c>
      <c r="C4" s="3">
        <v>1.6822262438709681</v>
      </c>
      <c r="D4" s="3">
        <v>1.6822262438709681</v>
      </c>
      <c r="E4" s="4">
        <v>2.156473993548387E-2</v>
      </c>
      <c r="F4" s="5">
        <v>7694.6137360000002</v>
      </c>
      <c r="G4" s="5">
        <v>521.65546870000003</v>
      </c>
      <c r="H4" s="5">
        <v>194.06847362340903</v>
      </c>
      <c r="I4" s="6">
        <v>15.756228053993825</v>
      </c>
      <c r="J4" s="5">
        <v>1707.7604995156146</v>
      </c>
      <c r="K4" s="5">
        <v>115.77743062389128</v>
      </c>
      <c r="L4" s="5">
        <v>993.67366255070078</v>
      </c>
      <c r="M4" s="6">
        <v>21.225469157524127</v>
      </c>
      <c r="N4" s="6">
        <v>44.932522274</v>
      </c>
      <c r="O4" s="6">
        <v>13.469304985000004</v>
      </c>
      <c r="P4" s="6">
        <v>-1.8161290341935479</v>
      </c>
      <c r="Q4" s="6">
        <v>1.1157558223612902E-2</v>
      </c>
    </row>
    <row r="5" spans="1:19">
      <c r="A5" s="2">
        <v>40269</v>
      </c>
      <c r="B5" s="6">
        <v>15.011211380000004</v>
      </c>
      <c r="C5" s="6">
        <v>15.011211380000004</v>
      </c>
      <c r="D5" s="6">
        <v>15.011211380000004</v>
      </c>
      <c r="E5" s="4">
        <v>5.5852657366666662E-2</v>
      </c>
      <c r="F5" s="5">
        <v>60411.937300000005</v>
      </c>
      <c r="G5" s="5">
        <v>3469.5538430000001</v>
      </c>
      <c r="H5" s="5">
        <v>396.32523831031614</v>
      </c>
      <c r="I5" s="6">
        <v>29.492753924022448</v>
      </c>
      <c r="J5" s="5">
        <v>1552.644432517463</v>
      </c>
      <c r="K5" s="6">
        <v>89.170843384924908</v>
      </c>
      <c r="L5" s="5">
        <v>847.96482165094926</v>
      </c>
      <c r="M5" s="6">
        <v>18.476329518305217</v>
      </c>
      <c r="N5" s="6">
        <v>35.784117031000001</v>
      </c>
      <c r="O5" s="6">
        <v>28.868229549999999</v>
      </c>
      <c r="P5" s="6">
        <v>5.1430000169999994</v>
      </c>
      <c r="Q5" s="6">
        <v>3.0173878192999997</v>
      </c>
    </row>
    <row r="6" spans="1:19">
      <c r="A6" s="2">
        <v>40299</v>
      </c>
      <c r="B6" s="3">
        <v>3.5212431741935482</v>
      </c>
      <c r="C6" s="3">
        <v>3.5212431741935482</v>
      </c>
      <c r="D6" s="3">
        <v>3.5212431741935482</v>
      </c>
      <c r="E6" s="4">
        <v>3.3826032677419355E-3</v>
      </c>
      <c r="F6" s="5">
        <v>11168.471200000002</v>
      </c>
      <c r="G6" s="5">
        <v>442.07875370000005</v>
      </c>
      <c r="H6" s="3">
        <v>9.391424304077308</v>
      </c>
      <c r="I6" s="4">
        <v>0.36024537705899468</v>
      </c>
      <c r="J6" s="5">
        <v>1184.1923522137768</v>
      </c>
      <c r="K6" s="6">
        <v>46.873584713510098</v>
      </c>
      <c r="L6" s="5">
        <v>479.1651390685866</v>
      </c>
      <c r="M6" s="3">
        <v>9.0016474648162372</v>
      </c>
      <c r="N6" s="6">
        <v>49.346897089999999</v>
      </c>
      <c r="O6" s="6">
        <v>59.001658669999998</v>
      </c>
      <c r="P6" s="6">
        <v>10.669677416129035</v>
      </c>
      <c r="Q6" s="6">
        <v>12.535144787096774</v>
      </c>
    </row>
    <row r="7" spans="1:19">
      <c r="A7" s="2">
        <v>40330</v>
      </c>
      <c r="B7" s="3">
        <v>1.0037342253333332</v>
      </c>
      <c r="C7" s="3">
        <v>1.0037342253333332</v>
      </c>
      <c r="D7" s="3">
        <v>1.0037342253333332</v>
      </c>
      <c r="E7" s="4">
        <v>1.1345795530000001E-3</v>
      </c>
      <c r="F7" s="5">
        <v>2705.5804820000012</v>
      </c>
      <c r="G7" s="6">
        <v>71.587892400000015</v>
      </c>
      <c r="H7" s="3">
        <v>1.6242583262916137</v>
      </c>
      <c r="I7" s="4">
        <v>8.1594300817918852E-2</v>
      </c>
      <c r="J7" s="5">
        <v>1039.93622846684</v>
      </c>
      <c r="K7" s="6">
        <v>27.516033484996136</v>
      </c>
      <c r="L7" s="5">
        <v>270.91921209620074</v>
      </c>
      <c r="M7" s="3">
        <v>1.4651752762311816</v>
      </c>
      <c r="N7" s="6">
        <v>40.308619754000006</v>
      </c>
      <c r="O7" s="6">
        <v>68.493048399999992</v>
      </c>
      <c r="P7" s="6">
        <v>14.480000033333338</v>
      </c>
      <c r="Q7" s="6">
        <v>16.213933266666668</v>
      </c>
    </row>
    <row r="8" spans="1:19">
      <c r="A8" s="2">
        <v>40360</v>
      </c>
      <c r="B8" s="4">
        <v>0.41904059967741947</v>
      </c>
      <c r="C8" s="4">
        <v>0.41904059967741947</v>
      </c>
      <c r="D8" s="4">
        <v>0.41904059967741947</v>
      </c>
      <c r="E8" s="4">
        <v>1.9722877745161293E-3</v>
      </c>
      <c r="F8" s="5">
        <v>1000.3742239999999</v>
      </c>
      <c r="G8" s="6">
        <v>22.293010880000004</v>
      </c>
      <c r="H8" s="3">
        <v>4.7610936811761118</v>
      </c>
      <c r="I8" s="4">
        <v>0.46989248992460608</v>
      </c>
      <c r="J8" s="5">
        <v>891.31442118246775</v>
      </c>
      <c r="K8" s="6">
        <v>19.862648752901979</v>
      </c>
      <c r="L8" s="6">
        <v>91.915977688491054</v>
      </c>
      <c r="M8" s="3">
        <v>1.0888051567052583</v>
      </c>
      <c r="N8" s="6">
        <v>65.292620779999993</v>
      </c>
      <c r="O8" s="6">
        <v>72.752846900000009</v>
      </c>
      <c r="P8" s="6">
        <v>20.179354709677416</v>
      </c>
      <c r="Q8" s="6">
        <v>21.288979129032256</v>
      </c>
    </row>
    <row r="9" spans="1:19">
      <c r="A9" s="2">
        <v>40391</v>
      </c>
      <c r="B9" s="3">
        <v>1.0370464216129034</v>
      </c>
      <c r="C9" s="3">
        <v>1.0370464216129034</v>
      </c>
      <c r="D9" s="3">
        <v>1.0370464216129034</v>
      </c>
      <c r="E9" s="4">
        <v>4.0885145509677407E-3</v>
      </c>
      <c r="F9" s="5">
        <v>2430.8904219999999</v>
      </c>
      <c r="G9" s="6">
        <v>51.952297079999987</v>
      </c>
      <c r="H9" s="3">
        <v>9.4170683882344299</v>
      </c>
      <c r="I9" s="4">
        <v>0.62488017782033001</v>
      </c>
      <c r="J9" s="5">
        <v>875.16860477377304</v>
      </c>
      <c r="K9" s="6">
        <v>18.703853827716625</v>
      </c>
      <c r="L9" s="5">
        <v>141.14021124497663</v>
      </c>
      <c r="M9" s="3">
        <v>2.3015929529870722</v>
      </c>
      <c r="N9" s="5">
        <v>118.86927723999999</v>
      </c>
      <c r="O9" s="6">
        <v>88.022699300000014</v>
      </c>
      <c r="P9" s="6">
        <v>16.086774070967738</v>
      </c>
      <c r="Q9" s="6">
        <v>17.645124290322581</v>
      </c>
    </row>
    <row r="10" spans="1:19">
      <c r="A10" s="2">
        <v>40422</v>
      </c>
      <c r="B10" s="3">
        <v>1.0076825539999998</v>
      </c>
      <c r="C10" s="3">
        <v>1.0076825539999998</v>
      </c>
      <c r="D10" s="3">
        <v>1.0076825539999998</v>
      </c>
      <c r="E10" s="4">
        <v>2.4655949313333331E-3</v>
      </c>
      <c r="F10" s="5">
        <v>2330.912311</v>
      </c>
      <c r="G10" s="6">
        <v>38.98259070999999</v>
      </c>
      <c r="H10" s="3">
        <v>4.1803264399696802</v>
      </c>
      <c r="I10" s="4">
        <v>0.17761593144013538</v>
      </c>
      <c r="J10" s="5">
        <v>892.41567289972568</v>
      </c>
      <c r="K10" s="6">
        <v>14.924917802721401</v>
      </c>
      <c r="L10" s="5">
        <v>223.45279402766198</v>
      </c>
      <c r="M10" s="3">
        <v>4.7052254401173643</v>
      </c>
      <c r="N10" s="6">
        <v>56.616634966999989</v>
      </c>
      <c r="O10" s="6">
        <v>47.208561879999998</v>
      </c>
      <c r="P10" s="6">
        <v>10.732666716666666</v>
      </c>
      <c r="Q10" s="6">
        <v>11.589767453333334</v>
      </c>
    </row>
    <row r="11" spans="1:19">
      <c r="A11" s="2">
        <v>40452</v>
      </c>
      <c r="B11" s="4">
        <v>0.92011386161290321</v>
      </c>
      <c r="C11" s="4">
        <v>0.92011386161290321</v>
      </c>
      <c r="D11" s="4">
        <v>0.92011386161290321</v>
      </c>
      <c r="E11" s="4">
        <v>1.8115186135483875E-3</v>
      </c>
      <c r="F11" s="5">
        <v>2265.9630279999997</v>
      </c>
      <c r="G11" s="6">
        <v>34.906715159999997</v>
      </c>
      <c r="H11" s="3">
        <v>3.3441634829214846</v>
      </c>
      <c r="I11" s="4">
        <v>0.15690827024813261</v>
      </c>
      <c r="J11" s="5">
        <v>919.46623421558616</v>
      </c>
      <c r="K11" s="6">
        <v>14.164196777726231</v>
      </c>
      <c r="L11" s="5">
        <v>306.61390690993289</v>
      </c>
      <c r="M11" s="3">
        <v>7.6108591294405317</v>
      </c>
      <c r="N11" s="6">
        <v>36.527809075999997</v>
      </c>
      <c r="O11" s="6">
        <v>22.956222100000002</v>
      </c>
      <c r="P11" s="6">
        <v>4.9467741365161277</v>
      </c>
      <c r="Q11" s="6">
        <v>4.7078464500645181</v>
      </c>
    </row>
    <row r="12" spans="1:19">
      <c r="A12" s="2">
        <v>40483</v>
      </c>
      <c r="B12" s="3">
        <v>3.010545102</v>
      </c>
      <c r="C12" s="3">
        <v>3.010545102</v>
      </c>
      <c r="D12" s="3">
        <v>3.010545102</v>
      </c>
      <c r="E12" s="4">
        <v>1.8364692299999999E-2</v>
      </c>
      <c r="F12" s="5">
        <v>10624.158027999998</v>
      </c>
      <c r="G12" s="5">
        <v>430.17535099999992</v>
      </c>
      <c r="H12" s="5">
        <v>150.14203092884046</v>
      </c>
      <c r="I12" s="6">
        <v>11.465413222890499</v>
      </c>
      <c r="J12" s="5">
        <v>1361.4897056142277</v>
      </c>
      <c r="K12" s="6">
        <v>55.12712850158168</v>
      </c>
      <c r="L12" s="5">
        <v>672.46770869819716</v>
      </c>
      <c r="M12" s="6">
        <v>16.948050272063835</v>
      </c>
      <c r="N12" s="6">
        <v>81.949184513999995</v>
      </c>
      <c r="O12" s="6">
        <v>22.510723594199998</v>
      </c>
      <c r="P12" s="6">
        <v>-1.5360000043333335</v>
      </c>
      <c r="Q12" s="6">
        <v>0.93696011391928335</v>
      </c>
    </row>
    <row r="13" spans="1:19">
      <c r="A13" s="2">
        <v>40513</v>
      </c>
      <c r="B13" s="3">
        <v>2.1768026258064515</v>
      </c>
      <c r="C13" s="3">
        <v>2.1768026258064515</v>
      </c>
      <c r="D13" s="3">
        <v>2.1768026258064515</v>
      </c>
      <c r="E13" s="4">
        <v>3.4935414161290316E-3</v>
      </c>
      <c r="F13" s="5">
        <v>8455.7524399999984</v>
      </c>
      <c r="G13" s="5">
        <v>293.55021769999996</v>
      </c>
      <c r="H13" s="6">
        <v>18.824787807131443</v>
      </c>
      <c r="I13" s="3">
        <v>1.1056210224197995</v>
      </c>
      <c r="J13" s="5">
        <v>1450.2996796189152</v>
      </c>
      <c r="K13" s="6">
        <v>50.348657195085991</v>
      </c>
      <c r="L13" s="5">
        <v>718.93041928418609</v>
      </c>
      <c r="M13" s="6">
        <v>16.750115642059416</v>
      </c>
      <c r="N13" s="6">
        <v>54.92649557</v>
      </c>
      <c r="O13" s="6">
        <v>13.398526351000001</v>
      </c>
      <c r="P13" s="6">
        <v>-8.3338709516129015</v>
      </c>
      <c r="Q13" s="6">
        <v>7.0102258241935486E-4</v>
      </c>
    </row>
    <row r="14" spans="1:19">
      <c r="A14" s="2">
        <v>40544</v>
      </c>
      <c r="B14" s="3">
        <v>1.5443410193548388</v>
      </c>
      <c r="C14" s="3">
        <v>1.5443410193548388</v>
      </c>
      <c r="D14" s="3">
        <v>1.5443410193548388</v>
      </c>
      <c r="E14" s="4">
        <v>1.0526525761290324E-2</v>
      </c>
      <c r="F14" s="5">
        <v>6560.6970100000008</v>
      </c>
      <c r="G14" s="5">
        <v>230.88823200000002</v>
      </c>
      <c r="H14" s="6">
        <v>95.001316917127042</v>
      </c>
      <c r="I14" s="3">
        <v>7.215495190955866</v>
      </c>
      <c r="J14" s="5">
        <v>1586.1027474249147</v>
      </c>
      <c r="K14" s="6">
        <v>55.819139759928817</v>
      </c>
      <c r="L14" s="5">
        <v>870.46702877520295</v>
      </c>
      <c r="M14" s="6">
        <v>19.190965345740935</v>
      </c>
      <c r="N14" s="6">
        <v>42.808830175000011</v>
      </c>
      <c r="O14" s="6">
        <v>11.0712888666</v>
      </c>
      <c r="P14" s="6">
        <v>-3.4748386993548381</v>
      </c>
      <c r="Q14" s="6">
        <v>1.2190019758290321E-2</v>
      </c>
    </row>
    <row r="15" spans="1:19">
      <c r="A15" s="2">
        <v>40575</v>
      </c>
      <c r="B15" s="3">
        <v>2.1782595214285712</v>
      </c>
      <c r="C15" s="3">
        <v>2.1782595214285712</v>
      </c>
      <c r="D15" s="3">
        <v>2.1782595214285712</v>
      </c>
      <c r="E15" s="4">
        <v>1.0560224167857141E-2</v>
      </c>
      <c r="F15" s="5">
        <v>9123.660719999998</v>
      </c>
      <c r="G15" s="5">
        <v>328.98674950000003</v>
      </c>
      <c r="H15" s="6">
        <v>81.556136242480136</v>
      </c>
      <c r="I15" s="3">
        <v>5.9099325416818225</v>
      </c>
      <c r="J15" s="5">
        <v>1731.3613250914627</v>
      </c>
      <c r="K15" s="6">
        <v>62.430526031175376</v>
      </c>
      <c r="L15" s="5">
        <v>1010.2392003583711</v>
      </c>
      <c r="M15" s="6">
        <v>21.341341447332422</v>
      </c>
      <c r="N15" s="6">
        <v>35.435307953999995</v>
      </c>
      <c r="O15" s="3">
        <v>9.0125788451000002</v>
      </c>
      <c r="P15" s="6">
        <v>-6.8660714521428563</v>
      </c>
      <c r="Q15" s="6">
        <v>1.0467674241071428E-2</v>
      </c>
    </row>
    <row r="16" spans="1:19">
      <c r="A16" s="2">
        <v>40603</v>
      </c>
      <c r="B16" s="3">
        <v>3.5907276677419357</v>
      </c>
      <c r="C16" s="3">
        <v>3.5907276677419357</v>
      </c>
      <c r="D16" s="3">
        <v>3.5907276677419357</v>
      </c>
      <c r="E16" s="4">
        <v>2.976539280967742E-2</v>
      </c>
      <c r="F16" s="5">
        <v>17893.83149</v>
      </c>
      <c r="G16" s="5">
        <v>1048.7459376000002</v>
      </c>
      <c r="H16" s="5">
        <v>257.63653228318378</v>
      </c>
      <c r="I16" s="6">
        <v>19.87422261498725</v>
      </c>
      <c r="J16" s="5">
        <v>1860.5674479448592</v>
      </c>
      <c r="K16" s="5">
        <v>109.04666283059281</v>
      </c>
      <c r="L16" s="5">
        <v>1126.3769449176009</v>
      </c>
      <c r="M16" s="6">
        <v>24.308299609979006</v>
      </c>
      <c r="N16" s="6">
        <v>19.335617869000004</v>
      </c>
      <c r="O16" s="3">
        <v>7.5229952995999998</v>
      </c>
      <c r="P16" s="6">
        <v>-0.1106451822258064</v>
      </c>
      <c r="Q16" s="6">
        <v>4.930968887741935E-2</v>
      </c>
    </row>
    <row r="17" spans="1:17">
      <c r="A17" s="2">
        <v>40634</v>
      </c>
      <c r="B17" s="6">
        <v>12.982527176666666</v>
      </c>
      <c r="C17" s="6">
        <v>12.982527176666666</v>
      </c>
      <c r="D17" s="6">
        <v>12.982527176666666</v>
      </c>
      <c r="E17" s="4">
        <v>3.4479730470000004E-2</v>
      </c>
      <c r="F17" s="5">
        <v>52182.058609999993</v>
      </c>
      <c r="G17" s="5">
        <v>2804.3202949999995</v>
      </c>
      <c r="H17" s="5">
        <v>216.48295060204873</v>
      </c>
      <c r="I17" s="6">
        <v>15.203511520368265</v>
      </c>
      <c r="J17" s="5">
        <v>1550.6970373611055</v>
      </c>
      <c r="K17" s="6">
        <v>83.336137215716136</v>
      </c>
      <c r="L17" s="5">
        <v>802.01987146380782</v>
      </c>
      <c r="M17" s="6">
        <v>15.998782169943036</v>
      </c>
      <c r="N17" s="6">
        <v>11.844292851000004</v>
      </c>
      <c r="O17" s="6">
        <v>34.869071370000007</v>
      </c>
      <c r="P17" s="6">
        <v>8.1700000366666679</v>
      </c>
      <c r="Q17" s="6">
        <v>7.0672857120000003</v>
      </c>
    </row>
    <row r="18" spans="1:17">
      <c r="A18" s="2">
        <v>40664</v>
      </c>
      <c r="B18" s="3">
        <v>1.6199519883870968</v>
      </c>
      <c r="C18" s="3">
        <v>1.6199519883870968</v>
      </c>
      <c r="D18" s="3">
        <v>1.6199519883870968</v>
      </c>
      <c r="E18" s="4">
        <v>1.183008497096774E-3</v>
      </c>
      <c r="F18" s="5">
        <v>5365.9012209999964</v>
      </c>
      <c r="G18" s="5">
        <v>175.46077989999998</v>
      </c>
      <c r="H18" s="3">
        <v>2.6636083054995852</v>
      </c>
      <c r="I18" s="4">
        <v>0.10871870939399689</v>
      </c>
      <c r="J18" s="5">
        <v>1236.7020453378027</v>
      </c>
      <c r="K18" s="6">
        <v>40.439190512085752</v>
      </c>
      <c r="L18" s="5">
        <v>451.62394403613104</v>
      </c>
      <c r="M18" s="3">
        <v>5.46977764156824</v>
      </c>
      <c r="N18" s="6">
        <v>26.67437619</v>
      </c>
      <c r="O18" s="6">
        <v>48.804977360000002</v>
      </c>
      <c r="P18" s="6">
        <v>11.303548387096777</v>
      </c>
      <c r="Q18" s="6">
        <v>12.833749251612907</v>
      </c>
    </row>
    <row r="19" spans="1:17">
      <c r="A19" s="2">
        <v>40695</v>
      </c>
      <c r="B19" s="4">
        <v>0.44634121100000013</v>
      </c>
      <c r="C19" s="4">
        <v>0.44634121100000013</v>
      </c>
      <c r="D19" s="4">
        <v>0.44634121100000013</v>
      </c>
      <c r="E19" s="4">
        <v>1.081495278E-3</v>
      </c>
      <c r="F19" s="5">
        <v>1203.9447910000001</v>
      </c>
      <c r="G19" s="6">
        <v>28.230939970000009</v>
      </c>
      <c r="H19" s="3">
        <v>1.3923962688503286</v>
      </c>
      <c r="I19" s="4">
        <v>0.10810420246720338</v>
      </c>
      <c r="J19" s="5">
        <v>1040.6496977256702</v>
      </c>
      <c r="K19" s="6">
        <v>24.40188245948416</v>
      </c>
      <c r="L19" s="5">
        <v>217.82446806294794</v>
      </c>
      <c r="M19" s="4">
        <v>0.75383974432506429</v>
      </c>
      <c r="N19" s="6">
        <v>55.074254821000004</v>
      </c>
      <c r="O19" s="6">
        <v>67.887244500000008</v>
      </c>
      <c r="P19" s="6">
        <v>16.606666666666669</v>
      </c>
      <c r="Q19" s="6">
        <v>17.729489699999995</v>
      </c>
    </row>
    <row r="20" spans="1:17">
      <c r="A20" s="2">
        <v>40725</v>
      </c>
      <c r="B20" s="4">
        <v>0.24720915161290324</v>
      </c>
      <c r="C20" s="4">
        <v>0.24720915161290324</v>
      </c>
      <c r="D20" s="4">
        <v>0.24720915161290324</v>
      </c>
      <c r="E20" s="4">
        <v>5.4677509677419347E-4</v>
      </c>
      <c r="F20" s="5">
        <v>599.00789499999996</v>
      </c>
      <c r="G20" s="6">
        <v>10.955836400000003</v>
      </c>
      <c r="H20" s="4">
        <v>0.56238009582085757</v>
      </c>
      <c r="I20" s="4">
        <v>5.3277295393521669E-2</v>
      </c>
      <c r="J20" s="5">
        <v>904.67490266206573</v>
      </c>
      <c r="K20" s="6">
        <v>16.546476809171629</v>
      </c>
      <c r="L20" s="6">
        <v>73.149366108240585</v>
      </c>
      <c r="M20" s="4">
        <v>0.56312102968311761</v>
      </c>
      <c r="N20" s="6">
        <v>22.857740349999997</v>
      </c>
      <c r="O20" s="6">
        <v>55.112568300000007</v>
      </c>
      <c r="P20" s="6">
        <v>18.238709774193556</v>
      </c>
      <c r="Q20" s="6">
        <v>18.94612251612903</v>
      </c>
    </row>
    <row r="21" spans="1:17">
      <c r="A21" s="2">
        <v>40756</v>
      </c>
      <c r="B21" s="4">
        <v>0.36529182516129038</v>
      </c>
      <c r="C21" s="4">
        <v>0.36529182516129038</v>
      </c>
      <c r="D21" s="4">
        <v>0.36529182516129038</v>
      </c>
      <c r="E21" s="4">
        <v>3.2380743061290324E-3</v>
      </c>
      <c r="F21" s="5">
        <v>845.73738000000014</v>
      </c>
      <c r="G21" s="6">
        <v>20.848651339999996</v>
      </c>
      <c r="H21" s="3">
        <v>9.5883012983644953</v>
      </c>
      <c r="I21" s="4">
        <v>0.7603367615488229</v>
      </c>
      <c r="J21" s="5">
        <v>864.41064490097631</v>
      </c>
      <c r="K21" s="6">
        <v>21.308974613604427</v>
      </c>
      <c r="L21" s="5">
        <v>149.54666539396513</v>
      </c>
      <c r="M21" s="3">
        <v>4.6382808588182503</v>
      </c>
      <c r="N21" s="5">
        <v>114.54516561269998</v>
      </c>
      <c r="O21" s="6">
        <v>72.966373599999997</v>
      </c>
      <c r="P21" s="6">
        <v>16.144193580645162</v>
      </c>
      <c r="Q21" s="6">
        <v>16.815646451612899</v>
      </c>
    </row>
    <row r="22" spans="1:17">
      <c r="A22" s="2">
        <v>40787</v>
      </c>
      <c r="B22" s="3">
        <v>1.1169082629999998</v>
      </c>
      <c r="C22" s="3">
        <v>1.1169082629999998</v>
      </c>
      <c r="D22" s="3">
        <v>1.1169082629999998</v>
      </c>
      <c r="E22" s="4">
        <v>3.5647192340000004E-3</v>
      </c>
      <c r="F22" s="5">
        <v>2678.9996609999998</v>
      </c>
      <c r="G22" s="6">
        <v>44.450074350000001</v>
      </c>
      <c r="H22" s="3">
        <v>6.8169246328324782</v>
      </c>
      <c r="I22" s="4">
        <v>0.26312590360263538</v>
      </c>
      <c r="J22" s="5">
        <v>925.38006296808135</v>
      </c>
      <c r="K22" s="6">
        <v>15.353944457018677</v>
      </c>
      <c r="L22" s="5">
        <v>223.33665318378334</v>
      </c>
      <c r="M22" s="3">
        <v>4.4371376869469001</v>
      </c>
      <c r="N22" s="6">
        <v>84.743238135000013</v>
      </c>
      <c r="O22" s="6">
        <v>60.236614199999991</v>
      </c>
      <c r="P22" s="6">
        <v>12.853333373333331</v>
      </c>
      <c r="Q22" s="6">
        <v>13.244635066666669</v>
      </c>
    </row>
    <row r="23" spans="1:17">
      <c r="A23" s="2">
        <v>40817</v>
      </c>
      <c r="B23" s="3">
        <v>1.5534672290322578</v>
      </c>
      <c r="C23" s="3">
        <v>1.5534672290322578</v>
      </c>
      <c r="D23" s="3">
        <v>1.5534672290322578</v>
      </c>
      <c r="E23" s="4">
        <v>4.8432112735483871E-3</v>
      </c>
      <c r="F23" s="5">
        <v>4208.8973000000005</v>
      </c>
      <c r="G23" s="6">
        <v>73.336507699999999</v>
      </c>
      <c r="H23" s="6">
        <v>15.345126185398001</v>
      </c>
      <c r="I23" s="4">
        <v>0.87684639963288757</v>
      </c>
      <c r="J23" s="5">
        <v>1011.5579711410544</v>
      </c>
      <c r="K23" s="6">
        <v>17.625549780936659</v>
      </c>
      <c r="L23" s="5">
        <v>305.02020892481852</v>
      </c>
      <c r="M23" s="3">
        <v>7.3683443415426622</v>
      </c>
      <c r="N23" s="6">
        <v>64.602213639999988</v>
      </c>
      <c r="O23" s="6">
        <v>36.579373390000001</v>
      </c>
      <c r="P23" s="6">
        <v>7.2599999709677432</v>
      </c>
      <c r="Q23" s="6">
        <v>7.4479018612903198</v>
      </c>
    </row>
    <row r="24" spans="1:17">
      <c r="A24" s="2">
        <v>40848</v>
      </c>
      <c r="B24" s="3">
        <v>1.1578880749999996</v>
      </c>
      <c r="C24" s="3">
        <v>1.1578880749999996</v>
      </c>
      <c r="D24" s="3">
        <v>1.1578880749999996</v>
      </c>
      <c r="E24" s="4">
        <v>3.1564756076666672E-3</v>
      </c>
      <c r="F24" s="5">
        <v>3256.3720800000006</v>
      </c>
      <c r="G24" s="6">
        <v>60.333001799999991</v>
      </c>
      <c r="H24" s="6">
        <v>15.705826907999054</v>
      </c>
      <c r="I24" s="3">
        <v>1.1211666361272707</v>
      </c>
      <c r="J24" s="5">
        <v>1085.006724436754</v>
      </c>
      <c r="K24" s="6">
        <v>20.102651098852942</v>
      </c>
      <c r="L24" s="5">
        <v>380.62073724170557</v>
      </c>
      <c r="M24" s="3">
        <v>9.8951342415333858</v>
      </c>
      <c r="N24" s="6">
        <v>29.29894153</v>
      </c>
      <c r="O24" s="6">
        <v>18.639784919349996</v>
      </c>
      <c r="P24" s="6">
        <v>4.7073333563333337</v>
      </c>
      <c r="Q24" s="6">
        <v>4.0845616903333335</v>
      </c>
    </row>
    <row r="25" spans="1:17">
      <c r="A25" s="2">
        <v>40878</v>
      </c>
      <c r="B25" s="3">
        <v>4.8598699290322598</v>
      </c>
      <c r="C25" s="3">
        <v>4.8598699290322598</v>
      </c>
      <c r="D25" s="3">
        <v>4.8598699290322598</v>
      </c>
      <c r="E25" s="4">
        <v>2.9031054409677418E-2</v>
      </c>
      <c r="F25" s="5">
        <v>21177.422119999996</v>
      </c>
      <c r="G25" s="5">
        <v>909.80956619999984</v>
      </c>
      <c r="H25" s="5">
        <v>253.6258400312507</v>
      </c>
      <c r="I25" s="6">
        <v>19.021035568056874</v>
      </c>
      <c r="J25" s="5">
        <v>1626.9454179080087</v>
      </c>
      <c r="K25" s="6">
        <v>69.895687847977783</v>
      </c>
      <c r="L25" s="5">
        <v>803.82953177544664</v>
      </c>
      <c r="M25" s="6">
        <v>19.410175160422654</v>
      </c>
      <c r="N25" s="6">
        <v>76.558918824100004</v>
      </c>
      <c r="O25" s="6">
        <v>22.671948249499998</v>
      </c>
      <c r="P25" s="6">
        <v>1.2396774013483871</v>
      </c>
      <c r="Q25" s="6">
        <v>0.81956375796774183</v>
      </c>
    </row>
    <row r="26" spans="1:17">
      <c r="A26" s="2">
        <v>40909</v>
      </c>
      <c r="B26" s="3">
        <v>6.9199953870967752</v>
      </c>
      <c r="C26" s="3">
        <v>6.9199953870967752</v>
      </c>
      <c r="D26" s="3">
        <v>6.9199953870967752</v>
      </c>
      <c r="E26" s="4">
        <v>2.2237929138709683E-2</v>
      </c>
      <c r="F26" s="5">
        <v>31942.405510000008</v>
      </c>
      <c r="G26" s="5">
        <v>1317.5517759999998</v>
      </c>
      <c r="H26" s="5">
        <v>174.45256678281058</v>
      </c>
      <c r="I26" s="6">
        <v>12.180819495492107</v>
      </c>
      <c r="J26" s="5">
        <v>1723.4010648002818</v>
      </c>
      <c r="K26" s="6">
        <v>71.086384590204403</v>
      </c>
      <c r="L26" s="5">
        <v>786.69295172997761</v>
      </c>
      <c r="M26" s="6">
        <v>17.761762729747797</v>
      </c>
      <c r="N26" s="6">
        <v>48.245683207999996</v>
      </c>
      <c r="O26" s="6">
        <v>12.587343535299999</v>
      </c>
      <c r="P26" s="6">
        <v>-2.4712903170967739</v>
      </c>
      <c r="Q26" s="6">
        <v>1.5671979843645156E-2</v>
      </c>
    </row>
    <row r="27" spans="1:17">
      <c r="A27" s="2">
        <v>40940</v>
      </c>
      <c r="B27" s="3">
        <v>2.5811799724137932</v>
      </c>
      <c r="C27" s="3">
        <v>2.5811799724137932</v>
      </c>
      <c r="D27" s="3">
        <v>2.5811799724137932</v>
      </c>
      <c r="E27" s="4">
        <v>1.6422778334482756E-2</v>
      </c>
      <c r="F27" s="5">
        <v>11290.930139999999</v>
      </c>
      <c r="G27" s="5">
        <v>422.32018889999995</v>
      </c>
      <c r="H27" s="5">
        <v>127.884821191171</v>
      </c>
      <c r="I27" s="3">
        <v>9.669016789631419</v>
      </c>
      <c r="J27" s="5">
        <v>1745.8208008917488</v>
      </c>
      <c r="K27" s="6">
        <v>65.299791430066378</v>
      </c>
      <c r="L27" s="5">
        <v>856.903329091675</v>
      </c>
      <c r="M27" s="6">
        <v>17.93716343543711</v>
      </c>
      <c r="N27" s="6">
        <v>57.150002441500007</v>
      </c>
      <c r="O27" s="6">
        <v>15.419880463000002</v>
      </c>
      <c r="P27" s="6">
        <v>-4.5462069110344849</v>
      </c>
      <c r="Q27" s="6">
        <v>5.3168613100000005E-3</v>
      </c>
    </row>
    <row r="28" spans="1:17">
      <c r="A28" s="2">
        <v>40969</v>
      </c>
      <c r="B28" s="3">
        <v>6.083414825806452</v>
      </c>
      <c r="C28" s="3">
        <v>6.083414825806452</v>
      </c>
      <c r="D28" s="3">
        <v>6.083414825806452</v>
      </c>
      <c r="E28" s="4">
        <v>1.8541082764516128E-2</v>
      </c>
      <c r="F28" s="5">
        <v>27519.747099999993</v>
      </c>
      <c r="G28" s="5">
        <v>1131.5720489999999</v>
      </c>
      <c r="H28" s="5">
        <v>128.40622567720158</v>
      </c>
      <c r="I28" s="3">
        <v>8.7695145833450105</v>
      </c>
      <c r="J28" s="5">
        <v>1688.9684921591595</v>
      </c>
      <c r="K28" s="6">
        <v>69.447932530019159</v>
      </c>
      <c r="L28" s="5">
        <v>851.65226795112471</v>
      </c>
      <c r="M28" s="6">
        <v>17.541103669299314</v>
      </c>
      <c r="N28" s="6">
        <v>18.445067559999998</v>
      </c>
      <c r="O28" s="6">
        <v>18.075019572000002</v>
      </c>
      <c r="P28" s="6">
        <v>3.2612902848387093</v>
      </c>
      <c r="Q28" s="6">
        <v>2.5326080712645163</v>
      </c>
    </row>
    <row r="29" spans="1:17">
      <c r="A29" s="2">
        <v>41000</v>
      </c>
      <c r="B29" s="3">
        <v>5.3889844799999995</v>
      </c>
      <c r="C29" s="3">
        <v>5.3889844799999995</v>
      </c>
      <c r="D29" s="3">
        <v>5.3889844799999995</v>
      </c>
      <c r="E29" s="4">
        <v>2.39999909E-2</v>
      </c>
      <c r="F29" s="5">
        <v>20970.12572</v>
      </c>
      <c r="G29" s="5">
        <v>1144.122001</v>
      </c>
      <c r="H29" s="5">
        <v>169.41398984898396</v>
      </c>
      <c r="I29" s="6">
        <v>12.751038471044748</v>
      </c>
      <c r="J29" s="5">
        <v>1501.2709370691437</v>
      </c>
      <c r="K29" s="6">
        <v>81.908767091243604</v>
      </c>
      <c r="L29" s="5">
        <v>708.20450034005501</v>
      </c>
      <c r="M29" s="6">
        <v>14.216354384159992</v>
      </c>
      <c r="N29" s="6">
        <v>68.141467840000004</v>
      </c>
      <c r="O29" s="6">
        <v>33.928056576000003</v>
      </c>
      <c r="P29" s="6">
        <v>4.2496666463333339</v>
      </c>
      <c r="Q29" s="6">
        <v>5.0319293633333331</v>
      </c>
    </row>
    <row r="30" spans="1:17">
      <c r="A30" s="2">
        <v>41030</v>
      </c>
      <c r="B30" s="3">
        <v>3.5471679838709664</v>
      </c>
      <c r="C30" s="3">
        <v>3.5471679838709664</v>
      </c>
      <c r="D30" s="3">
        <v>3.5471679838709664</v>
      </c>
      <c r="E30" s="4">
        <v>6.1582134193548374E-3</v>
      </c>
      <c r="F30" s="5">
        <v>13111.744209999997</v>
      </c>
      <c r="G30" s="5">
        <v>707.26164800000004</v>
      </c>
      <c r="H30" s="6">
        <v>33.572210163779943</v>
      </c>
      <c r="I30" s="3">
        <v>2.2562426494367296</v>
      </c>
      <c r="J30" s="5">
        <v>1380.0767944656893</v>
      </c>
      <c r="K30" s="6">
        <v>74.44283341857124</v>
      </c>
      <c r="L30" s="5">
        <v>596.96283009707497</v>
      </c>
      <c r="M30" s="6">
        <v>11.810814113948402</v>
      </c>
      <c r="N30" s="6">
        <v>46.744472661999993</v>
      </c>
      <c r="O30" s="6">
        <v>59.807741179999994</v>
      </c>
      <c r="P30" s="6">
        <v>11.176129029032255</v>
      </c>
      <c r="Q30" s="6">
        <v>13.137551738709679</v>
      </c>
    </row>
    <row r="31" spans="1:17">
      <c r="A31" s="2">
        <v>41061</v>
      </c>
      <c r="B31" s="3">
        <v>2.5248014099999998</v>
      </c>
      <c r="C31" s="3">
        <v>2.5248014099999998</v>
      </c>
      <c r="D31" s="3">
        <v>2.5248014099999998</v>
      </c>
      <c r="E31" s="4">
        <v>1.0043084490000001E-2</v>
      </c>
      <c r="F31" s="5">
        <v>8400.2919600000023</v>
      </c>
      <c r="G31" s="5">
        <v>376.9150649</v>
      </c>
      <c r="H31" s="6">
        <v>54.869462001092828</v>
      </c>
      <c r="I31" s="3">
        <v>4.0252808095033981</v>
      </c>
      <c r="J31" s="5">
        <v>1283.6071839099211</v>
      </c>
      <c r="K31" s="6">
        <v>57.594531364831404</v>
      </c>
      <c r="L31" s="5">
        <v>492.51723853522037</v>
      </c>
      <c r="M31" s="3">
        <v>8.6029779958493418</v>
      </c>
      <c r="N31" s="5">
        <v>117.74671989000001</v>
      </c>
      <c r="O31" s="6">
        <v>85.800020700000005</v>
      </c>
      <c r="P31" s="6">
        <v>12.984333380000002</v>
      </c>
      <c r="Q31" s="6">
        <v>15.077173966666669</v>
      </c>
    </row>
    <row r="32" spans="1:17">
      <c r="A32" s="2">
        <v>41091</v>
      </c>
      <c r="B32" s="3">
        <v>1.639009187096774</v>
      </c>
      <c r="C32" s="3">
        <v>1.639009187096774</v>
      </c>
      <c r="D32" s="3">
        <v>1.639009187096774</v>
      </c>
      <c r="E32" s="4">
        <v>2.3699470345161281E-3</v>
      </c>
      <c r="F32" s="5">
        <v>5242.0968399999992</v>
      </c>
      <c r="G32" s="5">
        <v>195.66492120000001</v>
      </c>
      <c r="H32" s="3">
        <v>5.309249240881071</v>
      </c>
      <c r="I32" s="4">
        <v>0.28674235419495753</v>
      </c>
      <c r="J32" s="5">
        <v>1194.1206295433281</v>
      </c>
      <c r="K32" s="6">
        <v>44.57138458147125</v>
      </c>
      <c r="L32" s="5">
        <v>378.96660269180956</v>
      </c>
      <c r="M32" s="3">
        <v>5.0735325542587564</v>
      </c>
      <c r="N32" s="6">
        <v>66.885292739999983</v>
      </c>
      <c r="O32" s="6">
        <v>86.935448700000009</v>
      </c>
      <c r="P32" s="6">
        <v>16.66967732258065</v>
      </c>
      <c r="Q32" s="6">
        <v>18.750631870967744</v>
      </c>
    </row>
    <row r="33" spans="1:17">
      <c r="A33" s="2">
        <v>41122</v>
      </c>
      <c r="B33" s="3">
        <v>1.099511170645161</v>
      </c>
      <c r="C33" s="3">
        <v>1.099511170645161</v>
      </c>
      <c r="D33" s="3">
        <v>1.099511170645161</v>
      </c>
      <c r="E33" s="4">
        <v>4.4292218758064513E-3</v>
      </c>
      <c r="F33" s="5">
        <v>3181.1921209999987</v>
      </c>
      <c r="G33" s="6">
        <v>91.613184600000025</v>
      </c>
      <c r="H33" s="6">
        <v>11.241159673957551</v>
      </c>
      <c r="I33" s="4">
        <v>0.86097372004653505</v>
      </c>
      <c r="J33" s="5">
        <v>1080.2264428891822</v>
      </c>
      <c r="K33" s="6">
        <v>31.108773096700482</v>
      </c>
      <c r="L33" s="5">
        <v>283.39289546638412</v>
      </c>
      <c r="M33" s="3">
        <v>2.3495290164019922</v>
      </c>
      <c r="N33" s="5">
        <v>134.79886543000001</v>
      </c>
      <c r="O33" s="6">
        <v>92.146907900000002</v>
      </c>
      <c r="P33" s="6">
        <v>15.639999967741934</v>
      </c>
      <c r="Q33" s="6">
        <v>17.17806564516129</v>
      </c>
    </row>
    <row r="34" spans="1:17">
      <c r="A34" s="2">
        <v>41153</v>
      </c>
      <c r="B34" s="3">
        <v>3.2269311966666669</v>
      </c>
      <c r="C34" s="3">
        <v>3.2269311966666669</v>
      </c>
      <c r="D34" s="3">
        <v>3.2269311966666669</v>
      </c>
      <c r="E34" s="4">
        <v>1.8153819460000001E-2</v>
      </c>
      <c r="F34" s="5">
        <v>10428.612730000001</v>
      </c>
      <c r="G34" s="5">
        <v>553.58306999999991</v>
      </c>
      <c r="H34" s="5">
        <v>135.80654655798006</v>
      </c>
      <c r="I34" s="6">
        <v>10.806547999996488</v>
      </c>
      <c r="J34" s="5">
        <v>1246.814427197693</v>
      </c>
      <c r="K34" s="6">
        <v>66.184772144567447</v>
      </c>
      <c r="L34" s="5">
        <v>503.41321538463103</v>
      </c>
      <c r="M34" s="6">
        <v>11.000323543903447</v>
      </c>
      <c r="N34" s="6">
        <v>80.751991498999999</v>
      </c>
      <c r="O34" s="6">
        <v>57.601123709999996</v>
      </c>
      <c r="P34" s="6">
        <v>11.408000036666666</v>
      </c>
      <c r="Q34" s="6">
        <v>12.465134283333331</v>
      </c>
    </row>
    <row r="35" spans="1:17">
      <c r="A35" s="2">
        <v>41183</v>
      </c>
      <c r="B35" s="3">
        <v>5.3858409064516151</v>
      </c>
      <c r="C35" s="3">
        <v>5.3858409064516151</v>
      </c>
      <c r="D35" s="3">
        <v>5.3858409064516151</v>
      </c>
      <c r="E35" s="4">
        <v>2.2627132822580651E-2</v>
      </c>
      <c r="F35" s="5">
        <v>20577.687959999992</v>
      </c>
      <c r="G35" s="5">
        <v>1074.095112</v>
      </c>
      <c r="H35" s="5">
        <v>173.57376950845378</v>
      </c>
      <c r="I35" s="6">
        <v>13.088629622276098</v>
      </c>
      <c r="J35" s="5">
        <v>1426.4862955788512</v>
      </c>
      <c r="K35" s="6">
        <v>74.458410173357862</v>
      </c>
      <c r="L35" s="5">
        <v>658.0059132510288</v>
      </c>
      <c r="M35" s="6">
        <v>17.373629114364402</v>
      </c>
      <c r="N35" s="6">
        <v>69.711703575000001</v>
      </c>
      <c r="O35" s="6">
        <v>33.527721057000001</v>
      </c>
      <c r="P35" s="6">
        <v>5.485161303225806</v>
      </c>
      <c r="Q35" s="6">
        <v>6.1679368329032265</v>
      </c>
    </row>
    <row r="36" spans="1:17">
      <c r="A36" s="2">
        <v>41214</v>
      </c>
      <c r="B36" s="3">
        <v>4.7062151233333331</v>
      </c>
      <c r="C36" s="3">
        <v>4.7062151233333331</v>
      </c>
      <c r="D36" s="3">
        <v>4.7062151233333331</v>
      </c>
      <c r="E36" s="4">
        <v>1.546587050666667E-2</v>
      </c>
      <c r="F36" s="5">
        <v>17793.178499999998</v>
      </c>
      <c r="G36" s="5">
        <v>825.69960999999989</v>
      </c>
      <c r="H36" s="5">
        <v>108.24545928011732</v>
      </c>
      <c r="I36" s="3">
        <v>7.879347049701714</v>
      </c>
      <c r="J36" s="5">
        <v>1458.63536675707</v>
      </c>
      <c r="K36" s="6">
        <v>67.688561318219485</v>
      </c>
      <c r="L36" s="5">
        <v>647.32899856672259</v>
      </c>
      <c r="M36" s="6">
        <v>17.04952998926931</v>
      </c>
      <c r="N36" s="6">
        <v>51.430017709999994</v>
      </c>
      <c r="O36" s="6">
        <v>21.518559320000001</v>
      </c>
      <c r="P36" s="6">
        <v>3.4093332963333327</v>
      </c>
      <c r="Q36" s="6">
        <v>2.7809368393333336</v>
      </c>
    </row>
    <row r="37" spans="1:17">
      <c r="A37" s="2">
        <v>41244</v>
      </c>
      <c r="B37" s="3">
        <v>3.0090228709677427</v>
      </c>
      <c r="C37" s="3">
        <v>3.0090228709677427</v>
      </c>
      <c r="D37" s="3">
        <v>3.0090228709677427</v>
      </c>
      <c r="E37" s="4">
        <v>9.6704516483870975E-3</v>
      </c>
      <c r="F37" s="5">
        <v>11746.77579</v>
      </c>
      <c r="G37" s="5">
        <v>487.09404899999993</v>
      </c>
      <c r="H37" s="6">
        <v>71.240955712033667</v>
      </c>
      <c r="I37" s="3">
        <v>5.0404269759734754</v>
      </c>
      <c r="J37" s="5">
        <v>1457.5307715176302</v>
      </c>
      <c r="K37" s="6">
        <v>60.438249697354742</v>
      </c>
      <c r="L37" s="5">
        <v>670.9935632225372</v>
      </c>
      <c r="M37" s="6">
        <v>16.194041432796357</v>
      </c>
      <c r="N37" s="6">
        <v>85.786949352999983</v>
      </c>
      <c r="O37" s="6">
        <v>21.285703087000005</v>
      </c>
      <c r="P37" s="6">
        <v>-4.9009677719354841</v>
      </c>
      <c r="Q37" s="6">
        <v>6.1791859896774201E-3</v>
      </c>
    </row>
    <row r="38" spans="1:17">
      <c r="A38" s="2">
        <v>41275</v>
      </c>
      <c r="B38" s="3">
        <v>3.7075229516129031</v>
      </c>
      <c r="C38" s="3">
        <v>3.7075229516129031</v>
      </c>
      <c r="D38" s="3">
        <v>3.7075229516129031</v>
      </c>
      <c r="E38" s="4">
        <v>1.8971163461290328E-2</v>
      </c>
      <c r="F38" s="5">
        <v>16059.390250000002</v>
      </c>
      <c r="G38" s="5">
        <v>779.39921400000014</v>
      </c>
      <c r="H38" s="5">
        <v>156.10698585270129</v>
      </c>
      <c r="I38" s="6">
        <v>11.719249821226558</v>
      </c>
      <c r="J38" s="5">
        <v>1617.2224043918736</v>
      </c>
      <c r="K38" s="6">
        <v>78.487529177303841</v>
      </c>
      <c r="L38" s="5">
        <v>859.10658277178129</v>
      </c>
      <c r="M38" s="6">
        <v>19.297911400213536</v>
      </c>
      <c r="N38" s="6">
        <v>32.395223636000004</v>
      </c>
      <c r="O38" s="3">
        <v>8.8005220863999991</v>
      </c>
      <c r="P38" s="6">
        <v>-4.7432257900000003</v>
      </c>
      <c r="Q38" s="6">
        <v>4.1150841076129048E-2</v>
      </c>
    </row>
    <row r="39" spans="1:17">
      <c r="A39" s="2">
        <v>41306</v>
      </c>
      <c r="B39" s="3">
        <v>2.717981867857143</v>
      </c>
      <c r="C39" s="3">
        <v>2.717981867857143</v>
      </c>
      <c r="D39" s="3">
        <v>2.717981867857143</v>
      </c>
      <c r="E39" s="4">
        <v>1.2655574907142855E-2</v>
      </c>
      <c r="F39" s="5">
        <v>11140.719780000003</v>
      </c>
      <c r="G39" s="5">
        <v>500.41011700000001</v>
      </c>
      <c r="H39" s="6">
        <v>97.109315130647062</v>
      </c>
      <c r="I39" s="3">
        <v>7.1289107322281673</v>
      </c>
      <c r="J39" s="5">
        <v>1694.317887716358</v>
      </c>
      <c r="K39" s="6">
        <v>76.104042440384703</v>
      </c>
      <c r="L39" s="5">
        <v>960.77080649409243</v>
      </c>
      <c r="M39" s="6">
        <v>20.172561404718206</v>
      </c>
      <c r="N39" s="6">
        <v>43.052555215999995</v>
      </c>
      <c r="O39" s="6">
        <v>10.772572151999999</v>
      </c>
      <c r="P39" s="6">
        <v>-2.3067857072857136</v>
      </c>
      <c r="Q39" s="6">
        <v>1.1713731437321424E-2</v>
      </c>
    </row>
    <row r="40" spans="1:17">
      <c r="A40" s="2">
        <v>41334</v>
      </c>
      <c r="B40" s="3">
        <v>1.7201623419354841</v>
      </c>
      <c r="C40" s="3">
        <v>1.7201623419354841</v>
      </c>
      <c r="D40" s="3">
        <v>1.7201623419354841</v>
      </c>
      <c r="E40" s="4">
        <v>7.4824268580645165E-3</v>
      </c>
      <c r="F40" s="5">
        <v>8048.7174400000004</v>
      </c>
      <c r="G40" s="5">
        <v>318.0770837</v>
      </c>
      <c r="H40" s="6">
        <v>60.163705898396806</v>
      </c>
      <c r="I40" s="3">
        <v>4.2986697525521169</v>
      </c>
      <c r="J40" s="5">
        <v>1746.9552662813694</v>
      </c>
      <c r="K40" s="6">
        <v>69.037886172136822</v>
      </c>
      <c r="L40" s="5">
        <v>1045.6254794184099</v>
      </c>
      <c r="M40" s="6">
        <v>20.758084057958083</v>
      </c>
      <c r="N40" s="3">
        <v>3.6773937500000002</v>
      </c>
      <c r="O40" s="3">
        <v>1.1247280869999998</v>
      </c>
      <c r="P40" s="6">
        <v>-4.3612902832258067</v>
      </c>
      <c r="Q40" s="6">
        <v>6.7597976099032248E-3</v>
      </c>
    </row>
    <row r="41" spans="1:17">
      <c r="A41" s="2">
        <v>41365</v>
      </c>
      <c r="B41" s="6">
        <v>11.442917116666669</v>
      </c>
      <c r="C41" s="6">
        <v>11.442917116666669</v>
      </c>
      <c r="D41" s="6">
        <v>11.442917116666669</v>
      </c>
      <c r="E41" s="4">
        <v>5.5136684643333336E-2</v>
      </c>
      <c r="F41" s="5">
        <v>42938.113120000002</v>
      </c>
      <c r="G41" s="5">
        <v>2417.3177418999999</v>
      </c>
      <c r="H41" s="5">
        <v>378.00924564262749</v>
      </c>
      <c r="I41" s="6">
        <v>29.695891537084016</v>
      </c>
      <c r="J41" s="5">
        <v>1447.6753618201797</v>
      </c>
      <c r="K41" s="6">
        <v>81.500818416237834</v>
      </c>
      <c r="L41" s="5">
        <v>836.86050428159547</v>
      </c>
      <c r="M41" s="6">
        <v>18.307611631958189</v>
      </c>
      <c r="N41" s="6">
        <v>43.910844366999996</v>
      </c>
      <c r="O41" s="6">
        <v>27.6375399</v>
      </c>
      <c r="P41" s="6">
        <v>3.9426666843333331</v>
      </c>
      <c r="Q41" s="6">
        <v>1.9250455710300003</v>
      </c>
    </row>
    <row r="42" spans="1:17">
      <c r="A42" s="2">
        <v>41395</v>
      </c>
      <c r="B42" s="3">
        <v>5.8567195451612903</v>
      </c>
      <c r="C42" s="3">
        <v>5.8567195451612903</v>
      </c>
      <c r="D42" s="3">
        <v>5.8567195451612903</v>
      </c>
      <c r="E42" s="4">
        <v>4.2153423190322559E-3</v>
      </c>
      <c r="F42" s="5">
        <v>16640.310809999999</v>
      </c>
      <c r="G42" s="5">
        <v>732.05019500000003</v>
      </c>
      <c r="H42" s="6">
        <v>13.273713614361901</v>
      </c>
      <c r="I42" s="4">
        <v>0.64264818407959778</v>
      </c>
      <c r="J42" s="5">
        <v>1060.7951853942759</v>
      </c>
      <c r="K42" s="6">
        <v>46.667117405110233</v>
      </c>
      <c r="L42" s="5">
        <v>421.976757908548</v>
      </c>
      <c r="M42" s="3">
        <v>7.8935161215560363</v>
      </c>
      <c r="N42" s="6">
        <v>15.748381240000001</v>
      </c>
      <c r="O42" s="6">
        <v>57.033340459999998</v>
      </c>
      <c r="P42" s="6">
        <v>13.121935561290327</v>
      </c>
      <c r="Q42" s="6">
        <v>14.273441270967737</v>
      </c>
    </row>
    <row r="43" spans="1:17">
      <c r="A43" s="2">
        <v>41426</v>
      </c>
      <c r="B43" s="4">
        <v>0.75507333799999998</v>
      </c>
      <c r="C43" s="4">
        <v>0.75507333799999998</v>
      </c>
      <c r="D43" s="4">
        <v>0.75507333799999998</v>
      </c>
      <c r="E43" s="4">
        <v>1.0584705463333331E-3</v>
      </c>
      <c r="F43" s="5">
        <v>1677.2438079999995</v>
      </c>
      <c r="G43" s="6">
        <v>48.035321730000007</v>
      </c>
      <c r="H43" s="3">
        <v>1.1096574732648508</v>
      </c>
      <c r="I43" s="4">
        <v>7.5401660583180943E-2</v>
      </c>
      <c r="J43" s="5">
        <v>856.98266078132883</v>
      </c>
      <c r="K43" s="6">
        <v>24.543502830363533</v>
      </c>
      <c r="L43" s="6">
        <v>88.428859527394067</v>
      </c>
      <c r="M43" s="4">
        <v>0.19502434520097395</v>
      </c>
      <c r="N43" s="6">
        <v>64.809174840000011</v>
      </c>
      <c r="O43" s="6">
        <v>75.353619999999978</v>
      </c>
      <c r="P43" s="6">
        <v>15.74833333333333</v>
      </c>
      <c r="Q43" s="6">
        <v>17.651597133333329</v>
      </c>
    </row>
    <row r="44" spans="1:17">
      <c r="A44" s="2">
        <v>41456</v>
      </c>
      <c r="B44" s="4">
        <v>0.30490604677419353</v>
      </c>
      <c r="C44" s="4">
        <v>0.30490604677419353</v>
      </c>
      <c r="D44" s="4">
        <v>0.30490604677419353</v>
      </c>
      <c r="E44" s="4">
        <v>5.8814295387096783E-4</v>
      </c>
      <c r="F44" s="5">
        <v>638.06025500000032</v>
      </c>
      <c r="G44" s="6">
        <v>12.908227489999998</v>
      </c>
      <c r="H44" s="4">
        <v>0.57847433253370095</v>
      </c>
      <c r="I44" s="4">
        <v>4.4372143416710974E-2</v>
      </c>
      <c r="J44" s="5">
        <v>781.30427777065711</v>
      </c>
      <c r="K44" s="6">
        <v>15.806114356260004</v>
      </c>
      <c r="L44" s="3">
        <v>5.6665198740976654</v>
      </c>
      <c r="M44" s="4">
        <v>0.2687060405750803</v>
      </c>
      <c r="N44" s="6">
        <v>22.039319519999999</v>
      </c>
      <c r="O44" s="6">
        <v>50.084379599999998</v>
      </c>
      <c r="P44" s="6">
        <v>17.197741967741937</v>
      </c>
      <c r="Q44" s="6">
        <v>18.10037622580646</v>
      </c>
    </row>
    <row r="45" spans="1:17">
      <c r="A45" s="2">
        <v>41487</v>
      </c>
      <c r="B45" s="4">
        <v>0.19302877548387096</v>
      </c>
      <c r="C45" s="4">
        <v>0.19302877548387096</v>
      </c>
      <c r="D45" s="4">
        <v>0.19302877548387096</v>
      </c>
      <c r="E45" s="4">
        <v>8.0876767354838683E-4</v>
      </c>
      <c r="F45" s="5">
        <v>385.9970469999999</v>
      </c>
      <c r="G45" s="3">
        <v>5.9852688000000001</v>
      </c>
      <c r="H45" s="4">
        <v>0.79491840108041267</v>
      </c>
      <c r="I45" s="4">
        <v>7.0879079726939756E-2</v>
      </c>
      <c r="J45" s="5">
        <v>746.59739779128654</v>
      </c>
      <c r="K45" s="6">
        <v>11.576736479235151</v>
      </c>
      <c r="L45" s="6">
        <v>18.867787731168974</v>
      </c>
      <c r="M45" s="3">
        <v>1.0074155757493617</v>
      </c>
      <c r="N45" s="6">
        <v>50.688127559999998</v>
      </c>
      <c r="O45" s="6">
        <v>55.467801300000012</v>
      </c>
      <c r="P45" s="6">
        <v>16.278064387096773</v>
      </c>
      <c r="Q45" s="6">
        <v>16.714802387096775</v>
      </c>
    </row>
    <row r="46" spans="1:17">
      <c r="A46" s="2">
        <v>41518</v>
      </c>
      <c r="B46" s="4">
        <v>0.14596335866666665</v>
      </c>
      <c r="C46" s="4">
        <v>0.14596335866666665</v>
      </c>
      <c r="D46" s="4">
        <v>0.14596335866666665</v>
      </c>
      <c r="E46" s="4">
        <v>7.1551680466666666E-4</v>
      </c>
      <c r="F46" s="5">
        <v>267.24595469999997</v>
      </c>
      <c r="G46" s="3">
        <v>3.4455506430000002</v>
      </c>
      <c r="H46" s="4">
        <v>0.55455810104092507</v>
      </c>
      <c r="I46" s="4">
        <v>3.7826192000077599E-2</v>
      </c>
      <c r="J46" s="5">
        <v>706.37004886396721</v>
      </c>
      <c r="K46" s="3">
        <v>9.1070930616163075</v>
      </c>
      <c r="L46" s="6">
        <v>64.435351867273354</v>
      </c>
      <c r="M46" s="3">
        <v>2.3172368776305436</v>
      </c>
      <c r="N46" s="6">
        <v>52.941443465999996</v>
      </c>
      <c r="O46" s="6">
        <v>36.366118229999998</v>
      </c>
      <c r="P46" s="6">
        <v>11.580000033333336</v>
      </c>
      <c r="Q46" s="6">
        <v>11.828043876666666</v>
      </c>
    </row>
    <row r="47" spans="1:17">
      <c r="A47" s="2">
        <v>41548</v>
      </c>
      <c r="B47" s="4">
        <v>0.23917157548387091</v>
      </c>
      <c r="C47" s="4">
        <v>0.23917157548387091</v>
      </c>
      <c r="D47" s="4">
        <v>0.23917157548387091</v>
      </c>
      <c r="E47" s="4">
        <v>1.3019971751612903E-3</v>
      </c>
      <c r="F47" s="5">
        <v>457.36295639999992</v>
      </c>
      <c r="G47" s="3">
        <v>7.3796010699999988</v>
      </c>
      <c r="H47" s="3">
        <v>1.948795954061193</v>
      </c>
      <c r="I47" s="4">
        <v>8.7059246055331732E-2</v>
      </c>
      <c r="J47" s="5">
        <v>713.96343229880506</v>
      </c>
      <c r="K47" s="6">
        <v>11.519877424933386</v>
      </c>
      <c r="L47" s="5">
        <v>197.39839793715407</v>
      </c>
      <c r="M47" s="3">
        <v>6.5849539363039673</v>
      </c>
      <c r="N47" s="6">
        <v>60.990444697000001</v>
      </c>
      <c r="O47" s="6">
        <v>32.096962103999999</v>
      </c>
      <c r="P47" s="6">
        <v>7.0961290541935487</v>
      </c>
      <c r="Q47" s="6">
        <v>6.0412959093548384</v>
      </c>
    </row>
    <row r="48" spans="1:17">
      <c r="A48" s="2">
        <v>41579</v>
      </c>
      <c r="B48" s="3">
        <v>1.8415371096666666</v>
      </c>
      <c r="C48" s="3">
        <v>1.8415371096666666</v>
      </c>
      <c r="D48" s="3">
        <v>1.8415371096666666</v>
      </c>
      <c r="E48" s="4">
        <v>4.3978957866666656E-3</v>
      </c>
      <c r="F48" s="5">
        <v>4387.1546619999999</v>
      </c>
      <c r="G48" s="6">
        <v>62.29761272999999</v>
      </c>
      <c r="H48" s="6">
        <v>10.394025031744581</v>
      </c>
      <c r="I48" s="4">
        <v>0.27122026420181128</v>
      </c>
      <c r="J48" s="5">
        <v>919.10991903706383</v>
      </c>
      <c r="K48" s="6">
        <v>13.051364381491336</v>
      </c>
      <c r="L48" s="5">
        <v>285.88847906548375</v>
      </c>
      <c r="M48" s="3">
        <v>6.532294445759689</v>
      </c>
      <c r="N48" s="6">
        <v>58.314085155000001</v>
      </c>
      <c r="O48" s="6">
        <v>21.673463857999998</v>
      </c>
      <c r="P48" s="6">
        <v>2.7620000174666677</v>
      </c>
      <c r="Q48" s="6">
        <v>2.7018092624533332</v>
      </c>
    </row>
    <row r="49" spans="1:17">
      <c r="A49" s="2">
        <v>41609</v>
      </c>
      <c r="B49" s="3">
        <v>3.1028622870967739</v>
      </c>
      <c r="C49" s="3">
        <v>3.1028622870967739</v>
      </c>
      <c r="D49" s="3">
        <v>3.1028622870967739</v>
      </c>
      <c r="E49" s="4">
        <v>1.3963307661290326E-2</v>
      </c>
      <c r="F49" s="5">
        <v>10438.706559999999</v>
      </c>
      <c r="G49" s="5">
        <v>286.94003740000005</v>
      </c>
      <c r="H49" s="5">
        <v>108.28514888757199</v>
      </c>
      <c r="I49" s="3">
        <v>7.9134589096622374</v>
      </c>
      <c r="J49" s="5">
        <v>1256.0552361012205</v>
      </c>
      <c r="K49" s="6">
        <v>34.526550723893791</v>
      </c>
      <c r="L49" s="5">
        <v>518.24759625226352</v>
      </c>
      <c r="M49" s="6">
        <v>11.963650681761031</v>
      </c>
      <c r="N49" s="6">
        <v>57.266564750000001</v>
      </c>
      <c r="O49" s="6">
        <v>20.421464979</v>
      </c>
      <c r="P49" s="6">
        <v>2.0941935864516128</v>
      </c>
      <c r="Q49" s="6">
        <v>1.191210518183871</v>
      </c>
    </row>
    <row r="50" spans="1:17">
      <c r="A50" s="2">
        <v>41640</v>
      </c>
      <c r="B50" s="3">
        <v>4.8210665193548392</v>
      </c>
      <c r="C50" s="3">
        <v>4.8210665193548392</v>
      </c>
      <c r="D50" s="3">
        <v>4.8210665193548392</v>
      </c>
      <c r="E50" s="4">
        <v>1.6010909583870969E-2</v>
      </c>
      <c r="F50" s="5">
        <v>20505.214750000006</v>
      </c>
      <c r="G50" s="5">
        <v>714.54613300000005</v>
      </c>
      <c r="H50" s="5">
        <v>128.0323355398269</v>
      </c>
      <c r="I50" s="3">
        <v>8.8939450155771027</v>
      </c>
      <c r="J50" s="5">
        <v>1587.9825600937083</v>
      </c>
      <c r="K50" s="6">
        <v>55.336500427064628</v>
      </c>
      <c r="L50" s="5">
        <v>755.78394238447584</v>
      </c>
      <c r="M50" s="6">
        <v>16.783147649149438</v>
      </c>
      <c r="N50" s="6">
        <v>48.126275884000002</v>
      </c>
      <c r="O50" s="6">
        <v>14.560222095</v>
      </c>
      <c r="P50" s="6">
        <v>-2.9425806516129036</v>
      </c>
      <c r="Q50" s="6">
        <v>0.7936010963574196</v>
      </c>
    </row>
    <row r="51" spans="1:17">
      <c r="A51" s="2">
        <v>41671</v>
      </c>
      <c r="B51" s="3">
        <v>5.0905610107142865</v>
      </c>
      <c r="C51" s="3">
        <v>5.0905610107142865</v>
      </c>
      <c r="D51" s="3">
        <v>5.0905610107142865</v>
      </c>
      <c r="E51" s="4">
        <v>2.7332957146428572E-2</v>
      </c>
      <c r="F51" s="5">
        <v>21033.711650000001</v>
      </c>
      <c r="G51" s="5">
        <v>780.47462300000007</v>
      </c>
      <c r="H51" s="5">
        <v>197.623630155726</v>
      </c>
      <c r="I51" s="6">
        <v>14.008901196586772</v>
      </c>
      <c r="J51" s="5">
        <v>1707.963039927183</v>
      </c>
      <c r="K51" s="6">
        <v>63.37549270138603</v>
      </c>
      <c r="L51" s="5">
        <v>873.71302490147741</v>
      </c>
      <c r="M51" s="6">
        <v>18.461224016335279</v>
      </c>
      <c r="N51" s="6">
        <v>44.873819634000007</v>
      </c>
      <c r="O51" s="6">
        <v>15.183580911699998</v>
      </c>
      <c r="P51" s="6">
        <v>1.55785715825</v>
      </c>
      <c r="Q51" s="6">
        <v>0.10133161889892858</v>
      </c>
    </row>
    <row r="52" spans="1:17">
      <c r="A52" s="2">
        <v>41699</v>
      </c>
      <c r="B52" s="3">
        <v>5.8029725516129025</v>
      </c>
      <c r="C52" s="3">
        <v>5.8029725516129025</v>
      </c>
      <c r="D52" s="3">
        <v>5.8029725516129025</v>
      </c>
      <c r="E52" s="4">
        <v>2.0555079925806446E-2</v>
      </c>
      <c r="F52" s="5">
        <v>25140.127540000001</v>
      </c>
      <c r="G52" s="5">
        <v>884.43199300000015</v>
      </c>
      <c r="H52" s="5">
        <v>151.66357722779134</v>
      </c>
      <c r="I52" s="6">
        <v>10.563338372245715</v>
      </c>
      <c r="J52" s="5">
        <v>1617.4895941537368</v>
      </c>
      <c r="K52" s="6">
        <v>56.903433758839441</v>
      </c>
      <c r="L52" s="5">
        <v>794.47984521433648</v>
      </c>
      <c r="M52" s="6">
        <v>16.090594156127029</v>
      </c>
      <c r="N52" s="6">
        <v>49.330846583199992</v>
      </c>
      <c r="O52" s="6">
        <v>24.805206344999995</v>
      </c>
      <c r="P52" s="6">
        <v>3.4093548619354843</v>
      </c>
      <c r="Q52" s="6">
        <v>2.9070866629032261</v>
      </c>
    </row>
    <row r="53" spans="1:17">
      <c r="A53" s="2">
        <v>41730</v>
      </c>
      <c r="B53" s="3">
        <v>3.9148257500000003</v>
      </c>
      <c r="C53" s="3">
        <v>3.9148257500000003</v>
      </c>
      <c r="D53" s="3">
        <v>3.9148257500000003</v>
      </c>
      <c r="E53" s="4">
        <v>1.0429268676666664E-2</v>
      </c>
      <c r="F53" s="5">
        <v>15635.92749</v>
      </c>
      <c r="G53" s="5">
        <v>511.59733199999994</v>
      </c>
      <c r="H53" s="6">
        <v>65.35843941087694</v>
      </c>
      <c r="I53" s="3">
        <v>4.3660405059021787</v>
      </c>
      <c r="J53" s="5">
        <v>1540.9061862621552</v>
      </c>
      <c r="K53" s="6">
        <v>50.417443370962566</v>
      </c>
      <c r="L53" s="5">
        <v>755.61937630768398</v>
      </c>
      <c r="M53" s="6">
        <v>14.605033143908916</v>
      </c>
      <c r="N53" s="6">
        <v>46.990000830999996</v>
      </c>
      <c r="O53" s="6">
        <v>36.553320398000004</v>
      </c>
      <c r="P53" s="6">
        <v>6.4083333800000011</v>
      </c>
      <c r="Q53" s="6">
        <v>7.4335827166666668</v>
      </c>
    </row>
    <row r="54" spans="1:17">
      <c r="A54" s="2">
        <v>41760</v>
      </c>
      <c r="B54" s="3">
        <v>1.8953047935483871</v>
      </c>
      <c r="C54" s="3">
        <v>1.8953047935483871</v>
      </c>
      <c r="D54" s="3">
        <v>1.8953047935483871</v>
      </c>
      <c r="E54" s="4">
        <v>5.0228805419354839E-3</v>
      </c>
      <c r="F54" s="5">
        <v>7097.9951199999996</v>
      </c>
      <c r="G54" s="5">
        <v>211.46285089999992</v>
      </c>
      <c r="H54" s="6">
        <v>24.908856507138591</v>
      </c>
      <c r="I54" s="3">
        <v>1.7064124938168448</v>
      </c>
      <c r="J54" s="5">
        <v>1398.238228375453</v>
      </c>
      <c r="K54" s="6">
        <v>41.656191610410424</v>
      </c>
      <c r="L54" s="5">
        <v>629.56884299779165</v>
      </c>
      <c r="M54" s="6">
        <v>11.087541932776924</v>
      </c>
      <c r="N54" s="6">
        <v>47.684907009999996</v>
      </c>
      <c r="O54" s="6">
        <v>57.499493260000001</v>
      </c>
      <c r="P54" s="6">
        <v>10.442257983870967</v>
      </c>
      <c r="Q54" s="6">
        <v>12.172159219354837</v>
      </c>
    </row>
    <row r="55" spans="1:17">
      <c r="A55" s="2">
        <v>41791</v>
      </c>
      <c r="B55" s="4">
        <v>0.74216729266666648</v>
      </c>
      <c r="C55" s="4">
        <v>0.74216729266666648</v>
      </c>
      <c r="D55" s="4">
        <v>0.74216729266666648</v>
      </c>
      <c r="E55" s="4">
        <v>1.0777765349999997E-3</v>
      </c>
      <c r="F55" s="5">
        <v>2363.0204100000001</v>
      </c>
      <c r="G55" s="6">
        <v>59.735932099999999</v>
      </c>
      <c r="H55" s="3">
        <v>1.3719527400813178</v>
      </c>
      <c r="I55" s="4">
        <v>9.4491607370839559E-2</v>
      </c>
      <c r="J55" s="5">
        <v>1228.3740485655135</v>
      </c>
      <c r="K55" s="6">
        <v>31.052659999621795</v>
      </c>
      <c r="L55" s="5">
        <v>430.79021182538588</v>
      </c>
      <c r="M55" s="3">
        <v>5.2298428946321955</v>
      </c>
      <c r="N55" s="6">
        <v>54.873405519999999</v>
      </c>
      <c r="O55" s="6">
        <v>63.316026600000001</v>
      </c>
      <c r="P55" s="6">
        <v>12.998666653333334</v>
      </c>
      <c r="Q55" s="6">
        <v>14.882622566666663</v>
      </c>
    </row>
    <row r="56" spans="1:17">
      <c r="A56" s="2">
        <v>41821</v>
      </c>
      <c r="B56" s="4">
        <v>0.34853311322580649</v>
      </c>
      <c r="C56" s="4">
        <v>0.34853311322580649</v>
      </c>
      <c r="D56" s="4">
        <v>0.34853311322580649</v>
      </c>
      <c r="E56" s="4">
        <v>7.0462218161290323E-4</v>
      </c>
      <c r="F56" s="5">
        <v>1009.6183489999997</v>
      </c>
      <c r="G56" s="6">
        <v>20.408727129999999</v>
      </c>
      <c r="H56" s="4">
        <v>0.70775175605103002</v>
      </c>
      <c r="I56" s="4">
        <v>5.6597233417426132E-2</v>
      </c>
      <c r="J56" s="5">
        <v>1081.5279064030799</v>
      </c>
      <c r="K56" s="6">
        <v>21.862328569897652</v>
      </c>
      <c r="L56" s="5">
        <v>304.53555373644525</v>
      </c>
      <c r="M56" s="3">
        <v>2.1805586925817879</v>
      </c>
      <c r="N56" s="6">
        <v>36.822819444999993</v>
      </c>
      <c r="O56" s="6">
        <v>73.839224599999966</v>
      </c>
      <c r="P56" s="6">
        <v>19.648064612903223</v>
      </c>
      <c r="Q56" s="6">
        <v>20.047805483870967</v>
      </c>
    </row>
    <row r="57" spans="1:17">
      <c r="A57" s="2">
        <v>41852</v>
      </c>
      <c r="B57" s="4">
        <v>0.24802186290322581</v>
      </c>
      <c r="C57" s="4">
        <v>0.24802186290322581</v>
      </c>
      <c r="D57" s="4">
        <v>0.24802186290322581</v>
      </c>
      <c r="E57" s="4">
        <v>1.3704628012903223E-3</v>
      </c>
      <c r="F57" s="5">
        <v>571.9084919999998</v>
      </c>
      <c r="G57" s="6">
        <v>10.9152319</v>
      </c>
      <c r="H57" s="3">
        <v>1.2740369520239396</v>
      </c>
      <c r="I57" s="4">
        <v>7.0307782883520922E-2</v>
      </c>
      <c r="J57" s="5">
        <v>860.91667962764632</v>
      </c>
      <c r="K57" s="6">
        <v>16.431134361992093</v>
      </c>
      <c r="L57" s="6">
        <v>60.885063508302203</v>
      </c>
      <c r="M57" s="3">
        <v>1.6176446771115545</v>
      </c>
      <c r="N57" s="6">
        <v>96.702248669800014</v>
      </c>
      <c r="O57" s="6">
        <v>76.382772999999986</v>
      </c>
      <c r="P57" s="6">
        <v>16.30161283870968</v>
      </c>
      <c r="Q57" s="6">
        <v>17.293038645161285</v>
      </c>
    </row>
    <row r="58" spans="1:17">
      <c r="A58" s="2">
        <v>41883</v>
      </c>
      <c r="B58" s="4">
        <v>0.37204170066666664</v>
      </c>
      <c r="C58" s="4">
        <v>0.37204170066666664</v>
      </c>
      <c r="D58" s="4">
        <v>0.37204170066666664</v>
      </c>
      <c r="E58" s="4">
        <v>2.5049846646666668E-3</v>
      </c>
      <c r="F58" s="5">
        <v>869.82301999999993</v>
      </c>
      <c r="G58" s="5">
        <v>106.35738142</v>
      </c>
      <c r="H58" s="3">
        <v>8.9501719149545309</v>
      </c>
      <c r="I58" s="3">
        <v>2.155144766344578</v>
      </c>
      <c r="J58" s="5">
        <v>901.99528609968741</v>
      </c>
      <c r="K58" s="5">
        <v>110.2912360499524</v>
      </c>
      <c r="L58" s="5">
        <v>208.71111242062219</v>
      </c>
      <c r="M58" s="3">
        <v>5.841606798799968</v>
      </c>
      <c r="N58" s="6">
        <v>59.576723944699999</v>
      </c>
      <c r="O58" s="6">
        <v>45.433528570000007</v>
      </c>
      <c r="P58" s="6">
        <v>11.767000066666665</v>
      </c>
      <c r="Q58" s="6">
        <v>11.82553819</v>
      </c>
    </row>
    <row r="59" spans="1:17">
      <c r="A59" s="2">
        <v>41913</v>
      </c>
      <c r="B59" s="3">
        <v>1.6420482996774191</v>
      </c>
      <c r="C59" s="3">
        <v>1.6420482996774191</v>
      </c>
      <c r="D59" s="3">
        <v>1.6420482996774191</v>
      </c>
      <c r="E59" s="4">
        <v>5.0525759632258065E-3</v>
      </c>
      <c r="F59" s="5">
        <v>4395.8598789999996</v>
      </c>
      <c r="G59" s="5">
        <v>224.81512309999997</v>
      </c>
      <c r="H59" s="6">
        <v>14.037926054959225</v>
      </c>
      <c r="I59" s="4">
        <v>0.66241827770702999</v>
      </c>
      <c r="J59" s="5">
        <v>999.49921201565917</v>
      </c>
      <c r="K59" s="6">
        <v>51.116856510899758</v>
      </c>
      <c r="L59" s="5">
        <v>304.20578019481252</v>
      </c>
      <c r="M59" s="3">
        <v>7.4474835056273614</v>
      </c>
      <c r="N59" s="6">
        <v>72.629277990000006</v>
      </c>
      <c r="O59" s="6">
        <v>40.539293499999999</v>
      </c>
      <c r="P59" s="6">
        <v>8.061290351612902</v>
      </c>
      <c r="Q59" s="6">
        <v>7.9454247096774182</v>
      </c>
    </row>
    <row r="60" spans="1:17">
      <c r="A60" s="2">
        <v>41944</v>
      </c>
      <c r="B60" s="3">
        <v>2.011150863333333</v>
      </c>
      <c r="C60" s="3">
        <v>2.011150863333333</v>
      </c>
      <c r="D60" s="3">
        <v>2.011150863333333</v>
      </c>
      <c r="E60" s="4">
        <v>6.7024311299999995E-3</v>
      </c>
      <c r="F60" s="5">
        <v>6018.3234399999992</v>
      </c>
      <c r="G60" s="5">
        <v>244.76418630000003</v>
      </c>
      <c r="H60" s="6">
        <v>44.154035236258672</v>
      </c>
      <c r="I60" s="3">
        <v>3.2992827855076898</v>
      </c>
      <c r="J60" s="5">
        <v>1154.5051327013316</v>
      </c>
      <c r="K60" s="6">
        <v>46.953525172271611</v>
      </c>
      <c r="L60" s="5">
        <v>408.14634137418852</v>
      </c>
      <c r="M60" s="6">
        <v>10.843869773059414</v>
      </c>
      <c r="N60" s="6">
        <v>36.113289944999998</v>
      </c>
      <c r="O60" s="6">
        <v>19.022586260000004</v>
      </c>
      <c r="P60" s="6">
        <v>4.0596666696666661</v>
      </c>
      <c r="Q60" s="6">
        <v>3.6271874886666664</v>
      </c>
    </row>
    <row r="61" spans="1:17">
      <c r="A61" s="2">
        <v>41974</v>
      </c>
      <c r="B61" s="3">
        <v>2.1480682838709675</v>
      </c>
      <c r="C61" s="3">
        <v>2.1480682838709675</v>
      </c>
      <c r="D61" s="3">
        <v>2.1480682838709675</v>
      </c>
      <c r="E61" s="4">
        <v>1.1419415232258064E-2</v>
      </c>
      <c r="F61" s="5">
        <v>8185.4089800000011</v>
      </c>
      <c r="G61" s="5">
        <v>377.36833879999995</v>
      </c>
      <c r="H61" s="6">
        <v>96.760781675941502</v>
      </c>
      <c r="I61" s="3">
        <v>7.2984707176207868</v>
      </c>
      <c r="J61" s="5">
        <v>1422.7115054429355</v>
      </c>
      <c r="K61" s="6">
        <v>65.59064713962421</v>
      </c>
      <c r="L61" s="5">
        <v>650.72464147885501</v>
      </c>
      <c r="M61" s="6">
        <v>15.694733218151898</v>
      </c>
      <c r="N61" s="6">
        <v>37.722283781000002</v>
      </c>
      <c r="O61" s="6">
        <v>10.596552249599998</v>
      </c>
      <c r="P61" s="6">
        <v>-1.4880645091612903</v>
      </c>
      <c r="Q61" s="6">
        <v>1.7233849829729034E-2</v>
      </c>
    </row>
    <row r="62" spans="1:17">
      <c r="A62" s="2">
        <v>42005</v>
      </c>
      <c r="B62" s="3">
        <v>4.3975174709677427</v>
      </c>
      <c r="C62" s="3">
        <v>4.3975174709677427</v>
      </c>
      <c r="D62" s="3">
        <v>4.3975174709677427</v>
      </c>
      <c r="E62" s="4">
        <v>2.3821713387096776E-2</v>
      </c>
      <c r="F62" s="5">
        <v>20215.321950000001</v>
      </c>
      <c r="G62" s="5">
        <v>1352.0605480000004</v>
      </c>
      <c r="H62" s="5">
        <v>209.76853892721712</v>
      </c>
      <c r="I62" s="6">
        <v>15.499321472463313</v>
      </c>
      <c r="J62" s="5">
        <v>1716.317495690176</v>
      </c>
      <c r="K62" s="5">
        <v>114.79239210824244</v>
      </c>
      <c r="L62" s="5">
        <v>881.84742451868397</v>
      </c>
      <c r="M62" s="6">
        <v>19.737093968294161</v>
      </c>
      <c r="N62" s="6">
        <v>88.004106906000004</v>
      </c>
      <c r="O62" s="6">
        <v>23.361674481400001</v>
      </c>
      <c r="P62" s="6">
        <v>-0.30774194109677427</v>
      </c>
      <c r="Q62" s="6">
        <v>1.0313847951612904E-2</v>
      </c>
    </row>
    <row r="63" spans="1:17">
      <c r="A63" s="2">
        <v>42036</v>
      </c>
      <c r="B63" s="3">
        <v>6.2962610178571436</v>
      </c>
      <c r="C63" s="3">
        <v>6.2962610178571436</v>
      </c>
      <c r="D63" s="3">
        <v>6.2962610178571436</v>
      </c>
      <c r="E63" s="4">
        <v>3.2097935464285715E-2</v>
      </c>
      <c r="F63" s="5">
        <v>28276.97623</v>
      </c>
      <c r="G63" s="5">
        <v>1648.6481739999997</v>
      </c>
      <c r="H63" s="5">
        <v>236.66189377891928</v>
      </c>
      <c r="I63" s="6">
        <v>17.171271036314682</v>
      </c>
      <c r="J63" s="5">
        <v>1856.4294605978212</v>
      </c>
      <c r="K63" s="5">
        <v>108.2364323448012</v>
      </c>
      <c r="L63" s="5">
        <v>992.22217906497804</v>
      </c>
      <c r="M63" s="6">
        <v>21.451981821821828</v>
      </c>
      <c r="N63" s="6">
        <v>32.584854655000001</v>
      </c>
      <c r="O63" s="6">
        <v>10.795796460000002</v>
      </c>
      <c r="P63" s="6">
        <v>0.28464285350000018</v>
      </c>
      <c r="Q63" s="6">
        <v>0.30854162418246428</v>
      </c>
    </row>
    <row r="64" spans="1:17">
      <c r="A64" s="2">
        <v>42064</v>
      </c>
      <c r="B64" s="3">
        <v>6.4749210322580639</v>
      </c>
      <c r="C64" s="3">
        <v>6.4749210322580639</v>
      </c>
      <c r="D64" s="3">
        <v>6.4749210322580639</v>
      </c>
      <c r="E64" s="4">
        <v>1.5213594306451608E-2</v>
      </c>
      <c r="F64" s="5">
        <v>27861.782540000004</v>
      </c>
      <c r="G64" s="5">
        <v>1147.7283709999999</v>
      </c>
      <c r="H64" s="6">
        <v>86.794298731482797</v>
      </c>
      <c r="I64" s="3">
        <v>5.4594594583653144</v>
      </c>
      <c r="J64" s="5">
        <v>1606.5674348397411</v>
      </c>
      <c r="K64" s="6">
        <v>66.180368671731415</v>
      </c>
      <c r="L64" s="5">
        <v>733.17744994045461</v>
      </c>
      <c r="M64" s="6">
        <v>14.801707970028209</v>
      </c>
      <c r="N64" s="6">
        <v>40.461347859999997</v>
      </c>
      <c r="O64" s="6">
        <v>19.354923749099999</v>
      </c>
      <c r="P64" s="6">
        <v>2.7022580587096776</v>
      </c>
      <c r="Q64" s="6">
        <v>2.9382425387096771</v>
      </c>
    </row>
    <row r="65" spans="1:17">
      <c r="A65" s="2">
        <v>42095</v>
      </c>
      <c r="B65" s="3">
        <v>3.6828004466666657</v>
      </c>
      <c r="C65" s="3">
        <v>3.6828004466666657</v>
      </c>
      <c r="D65" s="3">
        <v>3.6828004466666657</v>
      </c>
      <c r="E65" s="4">
        <v>8.9108309733333373E-3</v>
      </c>
      <c r="F65" s="5">
        <v>14135.03355</v>
      </c>
      <c r="G65" s="5">
        <v>518.35188349999999</v>
      </c>
      <c r="H65" s="6">
        <v>58.189964913969291</v>
      </c>
      <c r="I65" s="3">
        <v>4.0122644588665146</v>
      </c>
      <c r="J65" s="5">
        <v>1480.7564691684854</v>
      </c>
      <c r="K65" s="6">
        <v>54.301456611569108</v>
      </c>
      <c r="L65" s="5">
        <v>655.81534091517187</v>
      </c>
      <c r="M65" s="6">
        <v>12.498868016231192</v>
      </c>
      <c r="N65" s="6">
        <v>17.120867527000001</v>
      </c>
      <c r="O65" s="6">
        <v>29.192720570000006</v>
      </c>
      <c r="P65" s="6">
        <v>6.3853332633333331</v>
      </c>
      <c r="Q65" s="6">
        <v>7.388573533333334</v>
      </c>
    </row>
    <row r="66" spans="1:17">
      <c r="A66" s="2">
        <v>42125</v>
      </c>
      <c r="B66" s="3">
        <v>2.1374043612903226</v>
      </c>
      <c r="C66" s="3">
        <v>2.1374043612903226</v>
      </c>
      <c r="D66" s="3">
        <v>2.1374043612903226</v>
      </c>
      <c r="E66" s="4">
        <v>1.0422435445161291E-2</v>
      </c>
      <c r="F66" s="5">
        <v>7854.6813300000022</v>
      </c>
      <c r="G66" s="5">
        <v>300.27007819999994</v>
      </c>
      <c r="H66" s="6">
        <v>65.825195120974655</v>
      </c>
      <c r="I66" s="3">
        <v>5.0174048828747484</v>
      </c>
      <c r="J66" s="5">
        <v>1372.038886049231</v>
      </c>
      <c r="K66" s="6">
        <v>52.45053279330179</v>
      </c>
      <c r="L66" s="5">
        <v>585.07529438192716</v>
      </c>
      <c r="M66" s="6">
        <v>10.753066590096013</v>
      </c>
      <c r="N66" s="6">
        <v>96.325774198000005</v>
      </c>
      <c r="O66" s="6">
        <v>65.234006579999999</v>
      </c>
      <c r="P66" s="6">
        <v>9.4077419129032283</v>
      </c>
      <c r="Q66" s="6">
        <v>11.116902012903227</v>
      </c>
    </row>
    <row r="67" spans="1:17">
      <c r="A67" s="2">
        <v>42156</v>
      </c>
      <c r="B67" s="3">
        <v>2.1059131966666667</v>
      </c>
      <c r="C67" s="3">
        <v>2.1059131966666667</v>
      </c>
      <c r="D67" s="3">
        <v>2.1059131966666667</v>
      </c>
      <c r="E67" s="4">
        <v>4.4610042626666681E-3</v>
      </c>
      <c r="F67" s="5">
        <v>7099.5489000000016</v>
      </c>
      <c r="G67" s="5">
        <v>268.25989610000005</v>
      </c>
      <c r="H67" s="6">
        <v>24.160765329418322</v>
      </c>
      <c r="I67" s="3">
        <v>1.7308886033759459</v>
      </c>
      <c r="J67" s="5">
        <v>1300.6345225380423</v>
      </c>
      <c r="K67" s="6">
        <v>49.145104900795801</v>
      </c>
      <c r="L67" s="5">
        <v>505.90339776528953</v>
      </c>
      <c r="M67" s="3">
        <v>8.7915471240909042</v>
      </c>
      <c r="N67" s="6">
        <v>46.783339887000004</v>
      </c>
      <c r="O67" s="6">
        <v>69.308529700000008</v>
      </c>
      <c r="P67" s="6">
        <v>13.436333300000001</v>
      </c>
      <c r="Q67" s="6">
        <v>15.554505799999999</v>
      </c>
    </row>
    <row r="68" spans="1:17">
      <c r="A68" s="2">
        <v>42186</v>
      </c>
      <c r="B68" s="4">
        <v>0.92176289129032252</v>
      </c>
      <c r="C68" s="4">
        <v>0.92176289129032252</v>
      </c>
      <c r="D68" s="4">
        <v>0.92176289129032252</v>
      </c>
      <c r="E68" s="4">
        <v>3.9538528887096769E-3</v>
      </c>
      <c r="F68" s="5">
        <v>2782.7491319999995</v>
      </c>
      <c r="G68" s="6">
        <v>83.535233200000008</v>
      </c>
      <c r="H68" s="3">
        <v>8.6515514184705218</v>
      </c>
      <c r="I68" s="4">
        <v>0.56873149561794278</v>
      </c>
      <c r="J68" s="5">
        <v>1127.1439256965639</v>
      </c>
      <c r="K68" s="6">
        <v>33.83568839469762</v>
      </c>
      <c r="L68" s="5">
        <v>315.73128817065651</v>
      </c>
      <c r="M68" s="3">
        <v>3.1458747247133449</v>
      </c>
      <c r="N68" s="5">
        <v>124.77123330800001</v>
      </c>
      <c r="O68" s="6">
        <v>96.967299199999957</v>
      </c>
      <c r="P68" s="6">
        <v>16.141290354838713</v>
      </c>
      <c r="Q68" s="6">
        <v>17.979157967741934</v>
      </c>
    </row>
    <row r="69" spans="1:17">
      <c r="A69" s="2">
        <v>42217</v>
      </c>
      <c r="B69" s="3">
        <v>1.0744111999999997</v>
      </c>
      <c r="C69" s="3">
        <v>1.0744111999999997</v>
      </c>
      <c r="D69" s="3">
        <v>1.0744111999999997</v>
      </c>
      <c r="E69" s="4">
        <v>1.5746274777419355E-3</v>
      </c>
      <c r="F69" s="5">
        <v>3062.0227650000006</v>
      </c>
      <c r="G69" s="6">
        <v>77.250226570000024</v>
      </c>
      <c r="H69" s="3">
        <v>4.9158905579531291</v>
      </c>
      <c r="I69" s="4">
        <v>0.34859599392634771</v>
      </c>
      <c r="J69" s="5">
        <v>1064.0509592637814</v>
      </c>
      <c r="K69" s="6">
        <v>26.844404296418993</v>
      </c>
      <c r="L69" s="5">
        <v>266.17366636541516</v>
      </c>
      <c r="M69" s="3">
        <v>1.3580023684886995</v>
      </c>
      <c r="N69" s="3">
        <v>9.0017502530000009</v>
      </c>
      <c r="O69" s="6">
        <v>56.025600500000017</v>
      </c>
      <c r="P69" s="6">
        <v>16.432258032258066</v>
      </c>
      <c r="Q69" s="6">
        <v>17.876585774193543</v>
      </c>
    </row>
    <row r="70" spans="1:17">
      <c r="A70" s="2">
        <v>42248</v>
      </c>
      <c r="B70" s="4">
        <v>0.64242877533333353</v>
      </c>
      <c r="C70" s="4">
        <v>0.64242877533333353</v>
      </c>
      <c r="D70" s="4">
        <v>0.64242877533333353</v>
      </c>
      <c r="E70" s="4">
        <v>2.7936716499999989E-3</v>
      </c>
      <c r="F70" s="5">
        <v>1662.5271570000002</v>
      </c>
      <c r="G70" s="6">
        <v>35.529126489999996</v>
      </c>
      <c r="H70" s="3">
        <v>5.4887968551509978</v>
      </c>
      <c r="I70" s="4">
        <v>0.40048320042239294</v>
      </c>
      <c r="J70" s="5">
        <v>998.40958545070782</v>
      </c>
      <c r="K70" s="6">
        <v>21.336565832579026</v>
      </c>
      <c r="L70" s="5">
        <v>279.90796613628993</v>
      </c>
      <c r="M70" s="3">
        <v>2.7832971586235455</v>
      </c>
      <c r="N70" s="6">
        <v>96.070796224800006</v>
      </c>
      <c r="O70" s="6">
        <v>61.71721008999998</v>
      </c>
      <c r="P70" s="6">
        <v>12.195666686666668</v>
      </c>
      <c r="Q70" s="6">
        <v>12.920102536666665</v>
      </c>
    </row>
    <row r="71" spans="1:17">
      <c r="A71" s="2">
        <v>42278</v>
      </c>
      <c r="B71" s="4">
        <v>0.54116077225806458</v>
      </c>
      <c r="C71" s="4">
        <v>0.54116077225806458</v>
      </c>
      <c r="D71" s="4">
        <v>0.54116077225806458</v>
      </c>
      <c r="E71" s="4">
        <v>6.7213212806451622E-4</v>
      </c>
      <c r="F71" s="5">
        <v>1396.1332380000001</v>
      </c>
      <c r="G71" s="6">
        <v>22.773348680000002</v>
      </c>
      <c r="H71" s="4">
        <v>0.97129249866871648</v>
      </c>
      <c r="I71" s="4">
        <v>7.7447480162688237E-2</v>
      </c>
      <c r="J71" s="5">
        <v>963.21913589378505</v>
      </c>
      <c r="K71" s="6">
        <v>15.711770882993498</v>
      </c>
      <c r="L71" s="5">
        <v>331.28678682364836</v>
      </c>
      <c r="M71" s="3">
        <v>4.6529012422769966</v>
      </c>
      <c r="N71" s="3">
        <v>2.2659395600000001</v>
      </c>
      <c r="O71" s="6">
        <v>14.963315723700003</v>
      </c>
      <c r="P71" s="6">
        <v>5.6129032741935481</v>
      </c>
      <c r="Q71" s="6">
        <v>5.5743144516129037</v>
      </c>
    </row>
    <row r="72" spans="1:17">
      <c r="A72" s="2">
        <v>42309</v>
      </c>
      <c r="B72" s="4">
        <v>0.52608605233333328</v>
      </c>
      <c r="C72" s="4">
        <v>0.52608605233333328</v>
      </c>
      <c r="D72" s="4">
        <v>0.52608605233333328</v>
      </c>
      <c r="E72" s="4">
        <v>3.1224649479999994E-3</v>
      </c>
      <c r="F72" s="5">
        <v>1344.0105459999997</v>
      </c>
      <c r="G72" s="6">
        <v>24.453815699999996</v>
      </c>
      <c r="H72" s="3">
        <v>9.496532397791924</v>
      </c>
      <c r="I72" s="4">
        <v>0.53943779374777168</v>
      </c>
      <c r="J72" s="5">
        <v>985.62307792794809</v>
      </c>
      <c r="K72" s="6">
        <v>17.933077472392245</v>
      </c>
      <c r="L72" s="5">
        <v>412.82001640392463</v>
      </c>
      <c r="M72" s="3">
        <v>7.8442656647617621</v>
      </c>
      <c r="N72" s="6">
        <v>62.454381364000007</v>
      </c>
      <c r="O72" s="6">
        <v>24.048174308</v>
      </c>
      <c r="P72" s="6">
        <v>3.4283333373333331</v>
      </c>
      <c r="Q72" s="6">
        <v>2.9529825816033339</v>
      </c>
    </row>
    <row r="73" spans="1:17">
      <c r="A73" s="2">
        <v>42339</v>
      </c>
      <c r="B73" s="3">
        <v>2.5661120980645165</v>
      </c>
      <c r="C73" s="3">
        <v>2.5661120980645165</v>
      </c>
      <c r="D73" s="3">
        <v>2.5661120980645165</v>
      </c>
      <c r="E73" s="4">
        <v>1.4017275312903222E-2</v>
      </c>
      <c r="F73" s="5">
        <v>8958.387831</v>
      </c>
      <c r="G73" s="5">
        <v>365.15899419999994</v>
      </c>
      <c r="H73" s="5">
        <v>118.67771784041963</v>
      </c>
      <c r="I73" s="3">
        <v>9.1260850518429866</v>
      </c>
      <c r="J73" s="5">
        <v>1303.4031911816562</v>
      </c>
      <c r="K73" s="6">
        <v>53.128911849187801</v>
      </c>
      <c r="L73" s="5">
        <v>628.45773215434974</v>
      </c>
      <c r="M73" s="6">
        <v>13.460582038826908</v>
      </c>
      <c r="N73" s="6">
        <v>36.515686867000007</v>
      </c>
      <c r="O73" s="6">
        <v>17.188126668000002</v>
      </c>
      <c r="P73" s="6">
        <v>1.9906451455161285</v>
      </c>
      <c r="Q73" s="6">
        <v>1.7348119734019352</v>
      </c>
    </row>
    <row r="74" spans="1:17">
      <c r="A74" s="2">
        <v>42370</v>
      </c>
      <c r="B74" s="3">
        <v>1.7406616677419351</v>
      </c>
      <c r="C74" s="3">
        <v>1.7406616677419351</v>
      </c>
      <c r="D74" s="3">
        <v>1.7406616677419351</v>
      </c>
      <c r="E74" s="4">
        <v>1.0249141703225807E-2</v>
      </c>
      <c r="F74" s="5">
        <v>6728.7397600000022</v>
      </c>
      <c r="G74" s="5">
        <v>279.80385090000004</v>
      </c>
      <c r="H74" s="6">
        <v>81.503190339348876</v>
      </c>
      <c r="I74" s="3">
        <v>6.1342752088425074</v>
      </c>
      <c r="J74" s="5">
        <v>1443.2577755058028</v>
      </c>
      <c r="K74" s="6">
        <v>60.015559650995058</v>
      </c>
      <c r="L74" s="5">
        <v>725.09004221018449</v>
      </c>
      <c r="M74" s="6">
        <v>15.371263226764627</v>
      </c>
      <c r="N74" s="6">
        <v>39.610387787099995</v>
      </c>
      <c r="O74" s="6">
        <v>11.308587934889998</v>
      </c>
      <c r="P74" s="6">
        <v>-6.0716129490322563</v>
      </c>
      <c r="Q74" s="6">
        <v>6.1803769829032263E-3</v>
      </c>
    </row>
    <row r="75" spans="1:17">
      <c r="A75" s="2">
        <v>42401</v>
      </c>
      <c r="B75" s="3">
        <v>5.4492263344827583</v>
      </c>
      <c r="C75" s="3">
        <v>5.4492263344827583</v>
      </c>
      <c r="D75" s="3">
        <v>5.4492263344827583</v>
      </c>
      <c r="E75" s="4">
        <v>2.0988583979310339E-2</v>
      </c>
      <c r="F75" s="5">
        <v>23063.954530000006</v>
      </c>
      <c r="G75" s="5">
        <v>1210.2331159999997</v>
      </c>
      <c r="H75" s="5">
        <v>163.09888035089699</v>
      </c>
      <c r="I75" s="6">
        <v>11.821067817452478</v>
      </c>
      <c r="J75" s="5">
        <v>1689.2236870708934</v>
      </c>
      <c r="K75" s="6">
        <v>88.638505445203506</v>
      </c>
      <c r="L75" s="5">
        <v>862.31305774549173</v>
      </c>
      <c r="M75" s="6">
        <v>18.145534032613359</v>
      </c>
      <c r="N75" s="6">
        <v>40.631746049000007</v>
      </c>
      <c r="O75" s="6">
        <v>11.742654039</v>
      </c>
      <c r="P75" s="6">
        <v>-1.1220689665517243</v>
      </c>
      <c r="Q75" s="6">
        <v>1.0331586234482758E-2</v>
      </c>
    </row>
    <row r="76" spans="1:17">
      <c r="A76" s="2">
        <v>42430</v>
      </c>
      <c r="B76" s="3">
        <v>3.3837595935483873</v>
      </c>
      <c r="C76" s="3">
        <v>3.3837595935483873</v>
      </c>
      <c r="D76" s="3">
        <v>3.3837595935483873</v>
      </c>
      <c r="E76" s="4">
        <v>1.2313798867741933E-2</v>
      </c>
      <c r="F76" s="5">
        <v>15798.32105</v>
      </c>
      <c r="G76" s="5">
        <v>689.13820299999998</v>
      </c>
      <c r="H76" s="6">
        <v>90.821132286882616</v>
      </c>
      <c r="I76" s="3">
        <v>6.2018645825751451</v>
      </c>
      <c r="J76" s="5">
        <v>1743.1548913979577</v>
      </c>
      <c r="K76" s="6">
        <v>76.038119634657249</v>
      </c>
      <c r="L76" s="5">
        <v>889.32576139899709</v>
      </c>
      <c r="M76" s="6">
        <v>17.546603300967512</v>
      </c>
      <c r="N76" s="6">
        <v>20.854557525000001</v>
      </c>
      <c r="O76" s="6">
        <v>12.555823173999999</v>
      </c>
      <c r="P76" s="6">
        <v>2.0670967719354838</v>
      </c>
      <c r="Q76" s="6">
        <v>0.91601354216483866</v>
      </c>
    </row>
    <row r="77" spans="1:17">
      <c r="A77" s="2">
        <v>42461</v>
      </c>
      <c r="B77" s="3">
        <v>2.6031109700000004</v>
      </c>
      <c r="C77" s="3">
        <v>2.6031109700000004</v>
      </c>
      <c r="D77" s="3">
        <v>2.6031109700000004</v>
      </c>
      <c r="E77" s="4">
        <v>7.241352159999998E-3</v>
      </c>
      <c r="F77" s="5">
        <v>10910.102420000003</v>
      </c>
      <c r="G77" s="5">
        <v>397.02732100000009</v>
      </c>
      <c r="H77" s="6">
        <v>40.194438487744371</v>
      </c>
      <c r="I77" s="3">
        <v>2.62161918191627</v>
      </c>
      <c r="J77" s="5">
        <v>1616.9668673421809</v>
      </c>
      <c r="K77" s="6">
        <v>58.842713873959788</v>
      </c>
      <c r="L77" s="5">
        <v>758.09443735736716</v>
      </c>
      <c r="M77" s="6">
        <v>13.562642831563103</v>
      </c>
      <c r="N77" s="6">
        <v>41.285782710000007</v>
      </c>
      <c r="O77" s="6">
        <v>29.936032170000001</v>
      </c>
      <c r="P77" s="6">
        <v>5.1093332899999995</v>
      </c>
      <c r="Q77" s="6">
        <v>6.4450361366666673</v>
      </c>
    </row>
    <row r="78" spans="1:17">
      <c r="A78" s="2">
        <v>42491</v>
      </c>
      <c r="B78" s="3">
        <v>1.4749723916129027</v>
      </c>
      <c r="C78" s="3">
        <v>1.4749723916129027</v>
      </c>
      <c r="D78" s="3">
        <v>1.4749723916129027</v>
      </c>
      <c r="E78" s="4">
        <v>2.1311510835483869E-3</v>
      </c>
      <c r="F78" s="5">
        <v>5872.7770209999999</v>
      </c>
      <c r="G78" s="5">
        <v>190.43965490000011</v>
      </c>
      <c r="H78" s="3">
        <v>9.0749835417957812</v>
      </c>
      <c r="I78" s="4">
        <v>0.60706224937397346</v>
      </c>
      <c r="J78" s="5">
        <v>1486.5658493524336</v>
      </c>
      <c r="K78" s="6">
        <v>48.205660160878864</v>
      </c>
      <c r="L78" s="5">
        <v>625.6231364510611</v>
      </c>
      <c r="M78" s="6">
        <v>10.182861485098432</v>
      </c>
      <c r="N78" s="6">
        <v>29.336806709000001</v>
      </c>
      <c r="O78" s="6">
        <v>56.437948610000014</v>
      </c>
      <c r="P78" s="6">
        <v>11.924193638709676</v>
      </c>
      <c r="Q78" s="6">
        <v>13.208257696774194</v>
      </c>
    </row>
    <row r="79" spans="1:17">
      <c r="A79" s="2">
        <v>42522</v>
      </c>
      <c r="B79" s="4">
        <v>0.51778259700000018</v>
      </c>
      <c r="C79" s="4">
        <v>0.51778259700000018</v>
      </c>
      <c r="D79" s="4">
        <v>0.51778259700000018</v>
      </c>
      <c r="E79" s="4">
        <v>1.2963286286666665E-3</v>
      </c>
      <c r="F79" s="5">
        <v>1715.4562860000003</v>
      </c>
      <c r="G79" s="6">
        <v>43.821329580000004</v>
      </c>
      <c r="H79" s="3">
        <v>1.6708249070569448</v>
      </c>
      <c r="I79" s="4">
        <v>0.15255649467947757</v>
      </c>
      <c r="J79" s="5">
        <v>1278.1952264687282</v>
      </c>
      <c r="K79" s="6">
        <v>32.651495916068527</v>
      </c>
      <c r="L79" s="5">
        <v>407.98791060185391</v>
      </c>
      <c r="M79" s="3">
        <v>3.9606996534490935</v>
      </c>
      <c r="N79" s="6">
        <v>58.363568774000001</v>
      </c>
      <c r="O79" s="6">
        <v>71.471817299999984</v>
      </c>
      <c r="P79" s="6">
        <v>15.172666739999999</v>
      </c>
      <c r="Q79" s="6">
        <v>16.513712899999998</v>
      </c>
    </row>
    <row r="80" spans="1:17">
      <c r="A80" s="2">
        <v>42552</v>
      </c>
      <c r="B80" s="4">
        <v>0.35323023032258066</v>
      </c>
      <c r="C80" s="4">
        <v>0.35323023032258066</v>
      </c>
      <c r="D80" s="4">
        <v>0.35323023032258066</v>
      </c>
      <c r="E80" s="4">
        <v>9.1122653290322579E-4</v>
      </c>
      <c r="F80" s="5">
        <v>1020.3140809999998</v>
      </c>
      <c r="G80" s="6">
        <v>21.025632300000002</v>
      </c>
      <c r="H80" s="4">
        <v>0.78785826958523297</v>
      </c>
      <c r="I80" s="4">
        <v>8.4259302546118298E-2</v>
      </c>
      <c r="J80" s="5">
        <v>1078.4513486160502</v>
      </c>
      <c r="K80" s="6">
        <v>22.223667758505922</v>
      </c>
      <c r="L80" s="5">
        <v>218.67071924987545</v>
      </c>
      <c r="M80" s="4">
        <v>0.74716481055484263</v>
      </c>
      <c r="N80" s="6">
        <v>59.937971618599995</v>
      </c>
      <c r="O80" s="6">
        <v>75.304867700000017</v>
      </c>
      <c r="P80" s="6">
        <v>17.330322677419353</v>
      </c>
      <c r="Q80" s="6">
        <v>18.420797161290324</v>
      </c>
    </row>
    <row r="81" spans="1:17">
      <c r="A81" s="2">
        <v>42583</v>
      </c>
      <c r="B81" s="4">
        <v>0.26332286322580645</v>
      </c>
      <c r="C81" s="4">
        <v>0.26332286322580645</v>
      </c>
      <c r="D81" s="4">
        <v>0.26332286322580645</v>
      </c>
      <c r="E81" s="4">
        <v>1.4509199725806451E-3</v>
      </c>
      <c r="F81" s="5">
        <v>659.22421399999996</v>
      </c>
      <c r="G81" s="6">
        <v>11.66141835</v>
      </c>
      <c r="H81" s="3">
        <v>2.387855893901103</v>
      </c>
      <c r="I81" s="4">
        <v>0.19871225655764654</v>
      </c>
      <c r="J81" s="5">
        <v>934.6932956900298</v>
      </c>
      <c r="K81" s="6">
        <v>16.534358404588598</v>
      </c>
      <c r="L81" s="5">
        <v>128.96951831827278</v>
      </c>
      <c r="M81" s="3">
        <v>1.4229811050988919</v>
      </c>
      <c r="N81" s="6">
        <v>82.854039249400003</v>
      </c>
      <c r="O81" s="6">
        <v>67.620910800000019</v>
      </c>
      <c r="P81" s="6">
        <v>15.448709645161289</v>
      </c>
      <c r="Q81" s="6">
        <v>16.028265258064515</v>
      </c>
    </row>
    <row r="82" spans="1:17">
      <c r="A82" s="2">
        <v>42614</v>
      </c>
      <c r="B82" s="4">
        <v>0.36601344833333321</v>
      </c>
      <c r="C82" s="4">
        <v>0.36601344833333321</v>
      </c>
      <c r="D82" s="4">
        <v>0.36601344833333321</v>
      </c>
      <c r="E82" s="4">
        <v>7.5998823566666659E-4</v>
      </c>
      <c r="F82" s="5">
        <v>865.66786500000012</v>
      </c>
      <c r="G82" s="6">
        <v>13.32534083</v>
      </c>
      <c r="H82" s="3">
        <v>1.0942752721220936</v>
      </c>
      <c r="I82" s="4">
        <v>0.10656663529077487</v>
      </c>
      <c r="J82" s="5">
        <v>912.47133338827348</v>
      </c>
      <c r="K82" s="6">
        <v>14.045793117191609</v>
      </c>
      <c r="L82" s="5">
        <v>203.89815470783429</v>
      </c>
      <c r="M82" s="3">
        <v>2.61172283891896</v>
      </c>
      <c r="N82" s="6">
        <v>18.780653567999998</v>
      </c>
      <c r="O82" s="6">
        <v>37.756800230000017</v>
      </c>
      <c r="P82" s="6">
        <v>13.504333233333334</v>
      </c>
      <c r="Q82" s="6">
        <v>13.604061966666674</v>
      </c>
    </row>
    <row r="83" spans="1:17">
      <c r="A83" s="2">
        <v>42644</v>
      </c>
      <c r="B83" s="4">
        <v>0.26319877967741934</v>
      </c>
      <c r="C83" s="4">
        <v>0.26319877967741934</v>
      </c>
      <c r="D83" s="4">
        <v>0.26319877967741934</v>
      </c>
      <c r="E83" s="4">
        <v>5.252274351612901E-4</v>
      </c>
      <c r="F83" s="5">
        <v>615.10618700000009</v>
      </c>
      <c r="G83" s="3">
        <v>8.0273257999999998</v>
      </c>
      <c r="H83" s="4">
        <v>0.60882602791862572</v>
      </c>
      <c r="I83" s="4">
        <v>5.947903930513556E-2</v>
      </c>
      <c r="J83" s="5">
        <v>872.55089111632003</v>
      </c>
      <c r="K83" s="6">
        <v>11.3870586425983</v>
      </c>
      <c r="L83" s="5">
        <v>254.69405075303723</v>
      </c>
      <c r="M83" s="3">
        <v>4.5787904337667369</v>
      </c>
      <c r="N83" s="6">
        <v>26.035865356000002</v>
      </c>
      <c r="O83" s="6">
        <v>18.786058120000003</v>
      </c>
      <c r="P83" s="6">
        <v>6.1435484161290308</v>
      </c>
      <c r="Q83" s="6">
        <v>6.1905246161290322</v>
      </c>
    </row>
    <row r="84" spans="1:17">
      <c r="A84" s="2">
        <v>42675</v>
      </c>
      <c r="B84" s="3">
        <v>1.0602665396666666</v>
      </c>
      <c r="C84" s="3">
        <v>1.0602665396666666</v>
      </c>
      <c r="D84" s="3">
        <v>1.0602665396666666</v>
      </c>
      <c r="E84" s="4">
        <v>5.4503177953333344E-3</v>
      </c>
      <c r="F84" s="5">
        <v>2920.469846</v>
      </c>
      <c r="G84" s="6">
        <v>81.93888849999999</v>
      </c>
      <c r="H84" s="6">
        <v>16.536648128151029</v>
      </c>
      <c r="I84" s="4">
        <v>0.61257817315251284</v>
      </c>
      <c r="J84" s="5">
        <v>1062.6803653165239</v>
      </c>
      <c r="K84" s="6">
        <v>29.815355847862449</v>
      </c>
      <c r="L84" s="5">
        <v>373.0444741918667</v>
      </c>
      <c r="M84" s="3">
        <v>7.2626865469928186</v>
      </c>
      <c r="N84" s="6">
        <v>84.744474770199986</v>
      </c>
      <c r="O84" s="6">
        <v>24.170286386200008</v>
      </c>
      <c r="P84" s="6">
        <v>0.72333331366666653</v>
      </c>
      <c r="Q84" s="6">
        <v>0.98663424882243345</v>
      </c>
    </row>
    <row r="85" spans="1:17">
      <c r="A85" s="2">
        <v>42705</v>
      </c>
      <c r="B85" s="3">
        <v>2.6013043290322577</v>
      </c>
      <c r="C85" s="3">
        <v>2.6013043290322577</v>
      </c>
      <c r="D85" s="3">
        <v>2.6013043290322577</v>
      </c>
      <c r="E85" s="4">
        <v>7.2432554419354844E-3</v>
      </c>
      <c r="F85" s="5">
        <v>8499.4658999999992</v>
      </c>
      <c r="G85" s="5">
        <v>257.18227889999997</v>
      </c>
      <c r="H85" s="6">
        <v>53.062575385047623</v>
      </c>
      <c r="I85" s="3">
        <v>3.7547962434033901</v>
      </c>
      <c r="J85" s="5">
        <v>1219.90221012504</v>
      </c>
      <c r="K85" s="6">
        <v>36.912581937774469</v>
      </c>
      <c r="L85" s="5">
        <v>428.69917175767841</v>
      </c>
      <c r="M85" s="3">
        <v>8.3679417971791334</v>
      </c>
      <c r="N85" s="6">
        <v>24.152992760999993</v>
      </c>
      <c r="O85" s="6">
        <v>10.228555478800001</v>
      </c>
      <c r="P85" s="6">
        <v>0.71290322319354849</v>
      </c>
      <c r="Q85" s="6">
        <v>0.44689595137709676</v>
      </c>
    </row>
    <row r="86" spans="1:17">
      <c r="A86" s="2">
        <v>42736</v>
      </c>
      <c r="B86" s="3">
        <v>2.2441441612903223</v>
      </c>
      <c r="C86" s="3">
        <v>2.2441441612903223</v>
      </c>
      <c r="D86" s="3">
        <v>2.2441441612903223</v>
      </c>
      <c r="E86" s="4">
        <v>9.9152234677419345E-3</v>
      </c>
      <c r="F86" s="5">
        <v>9436.7326699999976</v>
      </c>
      <c r="G86" s="5">
        <v>352.62861309999994</v>
      </c>
      <c r="H86" s="6">
        <v>87.514995743698677</v>
      </c>
      <c r="I86" s="3">
        <v>6.4704673325413777</v>
      </c>
      <c r="J86" s="5">
        <v>1569.9847826231426</v>
      </c>
      <c r="K86" s="6">
        <v>58.666656779148042</v>
      </c>
      <c r="L86" s="5">
        <v>726.66006031144798</v>
      </c>
      <c r="M86" s="6">
        <v>14.703620344542209</v>
      </c>
      <c r="N86" s="6">
        <v>25.904138473999996</v>
      </c>
      <c r="O86" s="3">
        <v>7.5534325980000006</v>
      </c>
      <c r="P86" s="6">
        <v>-1.8596774096774191</v>
      </c>
      <c r="Q86" s="6">
        <v>0.11650939840516127</v>
      </c>
    </row>
    <row r="87" spans="1:17">
      <c r="A87" s="2">
        <v>42767</v>
      </c>
      <c r="B87" s="3">
        <v>2.0714211857142861</v>
      </c>
      <c r="C87" s="3">
        <v>2.0714211857142861</v>
      </c>
      <c r="D87" s="3">
        <v>2.0714211857142861</v>
      </c>
      <c r="E87" s="4">
        <v>6.5059705250000007E-3</v>
      </c>
      <c r="F87" s="5">
        <v>8563.0469400000002</v>
      </c>
      <c r="G87" s="5">
        <v>312.44308690000014</v>
      </c>
      <c r="H87" s="6">
        <v>41.781743445313964</v>
      </c>
      <c r="I87" s="3">
        <v>2.9175340413682314</v>
      </c>
      <c r="J87" s="5">
        <v>1708.7877010962545</v>
      </c>
      <c r="K87" s="6">
        <v>62.349174883290253</v>
      </c>
      <c r="L87" s="5">
        <v>845.09361012136242</v>
      </c>
      <c r="M87" s="6">
        <v>15.711111449026411</v>
      </c>
      <c r="N87" s="6">
        <v>26.679087808000002</v>
      </c>
      <c r="O87" s="3">
        <v>7.8071642369999985</v>
      </c>
      <c r="P87" s="6">
        <v>-1.3078571578214289</v>
      </c>
      <c r="Q87" s="6">
        <v>2.2234928227857142E-3</v>
      </c>
    </row>
    <row r="88" spans="1:17">
      <c r="A88" s="2">
        <v>42795</v>
      </c>
      <c r="B88" s="3">
        <v>3.3600078451612898</v>
      </c>
      <c r="C88" s="3">
        <v>3.3600078451612898</v>
      </c>
      <c r="D88" s="3">
        <v>3.3600078451612898</v>
      </c>
      <c r="E88" s="4">
        <v>1.5090425970967745E-2</v>
      </c>
      <c r="F88" s="5">
        <v>16466.089759999999</v>
      </c>
      <c r="G88" s="5">
        <v>810.66878300000008</v>
      </c>
      <c r="H88" s="5">
        <v>126.00843001514657</v>
      </c>
      <c r="I88" s="3">
        <v>8.9104823976467049</v>
      </c>
      <c r="J88" s="5">
        <v>1829.6782558856235</v>
      </c>
      <c r="K88" s="6">
        <v>90.079859688014011</v>
      </c>
      <c r="L88" s="5">
        <v>935.38246039025637</v>
      </c>
      <c r="M88" s="6">
        <v>17.627384637853638</v>
      </c>
      <c r="N88" s="6">
        <v>30.161543132999999</v>
      </c>
      <c r="O88" s="6">
        <v>16.196621832000002</v>
      </c>
      <c r="P88" s="6">
        <v>2.0774193677419355</v>
      </c>
      <c r="Q88" s="6">
        <v>1.6727014445925807</v>
      </c>
    </row>
    <row r="89" spans="1:17">
      <c r="A89" s="2">
        <v>42826</v>
      </c>
      <c r="B89" s="3">
        <v>1.8448643833333334</v>
      </c>
      <c r="C89" s="3">
        <v>1.8448643833333334</v>
      </c>
      <c r="D89" s="3">
        <v>1.8448643833333334</v>
      </c>
      <c r="E89" s="4">
        <v>3.6138909599999999E-3</v>
      </c>
      <c r="F89" s="5">
        <v>8330.1558700000023</v>
      </c>
      <c r="G89" s="5">
        <v>317.82086819999995</v>
      </c>
      <c r="H89" s="6">
        <v>15.075795885132081</v>
      </c>
      <c r="I89" s="4">
        <v>0.74776903156225782</v>
      </c>
      <c r="J89" s="5">
        <v>1742.0220975813324</v>
      </c>
      <c r="K89" s="6">
        <v>66.46346037596139</v>
      </c>
      <c r="L89" s="5">
        <v>812.18474307848237</v>
      </c>
      <c r="M89" s="6">
        <v>13.925833220519912</v>
      </c>
      <c r="N89" s="6">
        <v>21.67267988</v>
      </c>
      <c r="O89" s="6">
        <v>20.971447710000007</v>
      </c>
      <c r="P89" s="6">
        <v>3.9646666516666671</v>
      </c>
      <c r="Q89" s="6">
        <v>5.0865780233333338</v>
      </c>
    </row>
    <row r="90" spans="1:17">
      <c r="A90" s="2">
        <v>42856</v>
      </c>
      <c r="B90" s="4">
        <v>0.99300223612903238</v>
      </c>
      <c r="C90" s="4">
        <v>0.99300223612903238</v>
      </c>
      <c r="D90" s="4">
        <v>0.99300223612903238</v>
      </c>
      <c r="E90" s="4">
        <v>1.6557819861290324E-3</v>
      </c>
      <c r="F90" s="5">
        <v>4275.9156640000001</v>
      </c>
      <c r="G90" s="5">
        <v>126.94439929999997</v>
      </c>
      <c r="H90" s="3">
        <v>5.0371823421406283</v>
      </c>
      <c r="I90" s="4">
        <v>0.24450494968031944</v>
      </c>
      <c r="J90" s="5">
        <v>1607.6942294248131</v>
      </c>
      <c r="K90" s="6">
        <v>47.729607454534012</v>
      </c>
      <c r="L90" s="5">
        <v>707.96971671439917</v>
      </c>
      <c r="M90" s="6">
        <v>10.854207280380708</v>
      </c>
      <c r="N90" s="6">
        <v>23.285484889999999</v>
      </c>
      <c r="O90" s="6">
        <v>47.004463440000016</v>
      </c>
      <c r="P90" s="6">
        <v>10.142903248387098</v>
      </c>
      <c r="Q90" s="6">
        <v>11.28580871935484</v>
      </c>
    </row>
    <row r="91" spans="1:17">
      <c r="A91" s="2">
        <v>42887</v>
      </c>
      <c r="B91" s="4">
        <v>0.45940095000000003</v>
      </c>
      <c r="C91" s="4">
        <v>0.45940095000000003</v>
      </c>
      <c r="D91" s="4">
        <v>0.45940095000000003</v>
      </c>
      <c r="E91" s="4">
        <v>8.7011509999999979E-4</v>
      </c>
      <c r="F91" s="5">
        <v>1621.9051220000001</v>
      </c>
      <c r="G91" s="6">
        <v>38.977934089999991</v>
      </c>
      <c r="H91" s="4">
        <v>0.938664354971667</v>
      </c>
      <c r="I91" s="4">
        <v>7.9049296959704224E-2</v>
      </c>
      <c r="J91" s="5">
        <v>1362.067221275611</v>
      </c>
      <c r="K91" s="6">
        <v>32.733459893668119</v>
      </c>
      <c r="L91" s="5">
        <v>448.49897329962675</v>
      </c>
      <c r="M91" s="3">
        <v>4.2292532316346918</v>
      </c>
      <c r="N91" s="6">
        <v>57.580110220000002</v>
      </c>
      <c r="O91" s="6">
        <v>71.938391499999994</v>
      </c>
      <c r="P91" s="6">
        <v>14.309333416666668</v>
      </c>
      <c r="Q91" s="6">
        <v>15.771081166666667</v>
      </c>
    </row>
    <row r="92" spans="1:17">
      <c r="A92" s="2">
        <v>42917</v>
      </c>
      <c r="B92" s="4">
        <v>0.27292169838709684</v>
      </c>
      <c r="C92" s="4">
        <v>0.27292169838709684</v>
      </c>
      <c r="D92" s="4">
        <v>0.27292169838709684</v>
      </c>
      <c r="E92" s="4">
        <v>5.95085208064516E-4</v>
      </c>
      <c r="F92" s="5">
        <v>859.71242599999994</v>
      </c>
      <c r="G92" s="6">
        <v>16.370816560000005</v>
      </c>
      <c r="H92" s="4">
        <v>0.54009901574936059</v>
      </c>
      <c r="I92" s="4">
        <v>4.9317818763710511E-2</v>
      </c>
      <c r="J92" s="5">
        <v>1176.0876241335841</v>
      </c>
      <c r="K92" s="6">
        <v>22.395296360387345</v>
      </c>
      <c r="L92" s="5">
        <v>268.53637325867646</v>
      </c>
      <c r="M92" s="4">
        <v>0.64779438539196843</v>
      </c>
      <c r="N92" s="6">
        <v>27.472566423000004</v>
      </c>
      <c r="O92" s="6">
        <v>57.336584600000002</v>
      </c>
      <c r="P92" s="6">
        <v>15.871935419354841</v>
      </c>
      <c r="Q92" s="6">
        <v>16.619206032258063</v>
      </c>
    </row>
    <row r="93" spans="1:17">
      <c r="A93" s="2">
        <v>42948</v>
      </c>
      <c r="B93" s="4">
        <v>0.16774992451612905</v>
      </c>
      <c r="C93" s="4">
        <v>0.16774992451612905</v>
      </c>
      <c r="D93" s="4">
        <v>0.16774992451612905</v>
      </c>
      <c r="E93" s="4">
        <v>6.8373818387096764E-4</v>
      </c>
      <c r="F93" s="5">
        <v>460.67934300000002</v>
      </c>
      <c r="G93" s="3">
        <v>7.0387086900000018</v>
      </c>
      <c r="H93" s="4">
        <v>0.54196291428510313</v>
      </c>
      <c r="I93" s="4">
        <v>4.0329711642081573E-2</v>
      </c>
      <c r="J93" s="5">
        <v>1025.3235798648991</v>
      </c>
      <c r="K93" s="6">
        <v>15.665894692001244</v>
      </c>
      <c r="L93" s="5">
        <v>165.92532573741818</v>
      </c>
      <c r="M93" s="4">
        <v>0.83408875466451626</v>
      </c>
      <c r="N93" s="6">
        <v>69.677743241000016</v>
      </c>
      <c r="O93" s="6">
        <v>57.419070469999994</v>
      </c>
      <c r="P93" s="6">
        <v>15.364516193548388</v>
      </c>
      <c r="Q93" s="6">
        <v>15.773794838709682</v>
      </c>
    </row>
    <row r="94" spans="1:17">
      <c r="A94" s="2">
        <v>42979</v>
      </c>
      <c r="B94" s="4">
        <v>0.25505139366666668</v>
      </c>
      <c r="C94" s="4">
        <v>0.25505139366666668</v>
      </c>
      <c r="D94" s="4">
        <v>0.25505139366666668</v>
      </c>
      <c r="E94" s="4">
        <v>1.4128229833333332E-3</v>
      </c>
      <c r="F94" s="5">
        <v>632.37771900000018</v>
      </c>
      <c r="G94" s="6">
        <v>10.861606299999998</v>
      </c>
      <c r="H94" s="3">
        <v>2.3217094971901848</v>
      </c>
      <c r="I94" s="4">
        <v>0.12562573042237682</v>
      </c>
      <c r="J94" s="5">
        <v>956.56358453514622</v>
      </c>
      <c r="K94" s="6">
        <v>16.429764506023748</v>
      </c>
      <c r="L94" s="5">
        <v>211.87213282634545</v>
      </c>
      <c r="M94" s="3">
        <v>3.7492863348628238</v>
      </c>
      <c r="N94" s="6">
        <v>63.9441252847</v>
      </c>
      <c r="O94" s="6">
        <v>49.257637380000006</v>
      </c>
      <c r="P94" s="6">
        <v>11.881000023333332</v>
      </c>
      <c r="Q94" s="6">
        <v>11.78770199</v>
      </c>
    </row>
    <row r="95" spans="1:17">
      <c r="A95" s="2">
        <v>43009</v>
      </c>
      <c r="B95" s="3">
        <v>3.0970556906451603</v>
      </c>
      <c r="C95" s="3">
        <v>3.0970556906451603</v>
      </c>
      <c r="D95" s="3">
        <v>3.0970556906451603</v>
      </c>
      <c r="E95" s="4">
        <v>1.4093026151290324E-2</v>
      </c>
      <c r="F95" s="5">
        <v>10976.231128000003</v>
      </c>
      <c r="G95" s="5">
        <v>463.5008282199999</v>
      </c>
      <c r="H95" s="6">
        <v>88.351797923216068</v>
      </c>
      <c r="I95" s="3">
        <v>6.264548792097683</v>
      </c>
      <c r="J95" s="5">
        <v>1323.2100109922062</v>
      </c>
      <c r="K95" s="6">
        <v>55.876094486639296</v>
      </c>
      <c r="L95" s="5">
        <v>436.10157212428379</v>
      </c>
      <c r="M95" s="6">
        <v>10.069669806354813</v>
      </c>
      <c r="N95" s="5">
        <v>121.6235962441</v>
      </c>
      <c r="O95" s="6">
        <v>48.104034574999993</v>
      </c>
      <c r="P95" s="6">
        <v>6.610000032258065</v>
      </c>
      <c r="Q95" s="6">
        <v>7.0263994677419355</v>
      </c>
    </row>
    <row r="96" spans="1:17">
      <c r="A96" s="2">
        <v>43040</v>
      </c>
      <c r="B96" s="3">
        <v>5.2387670166666673</v>
      </c>
      <c r="C96" s="3">
        <v>5.2387670166666673</v>
      </c>
      <c r="D96" s="3">
        <v>5.2387670166666673</v>
      </c>
      <c r="E96" s="4">
        <v>2.2798793216666668E-2</v>
      </c>
      <c r="F96" s="5">
        <v>22350.226429999999</v>
      </c>
      <c r="G96" s="5">
        <v>981.49289799999997</v>
      </c>
      <c r="H96" s="5">
        <v>186.38545207926083</v>
      </c>
      <c r="I96" s="6">
        <v>13.605976390709047</v>
      </c>
      <c r="J96" s="5">
        <v>1645.9544924465315</v>
      </c>
      <c r="K96" s="6">
        <v>72.280817322638811</v>
      </c>
      <c r="L96" s="5">
        <v>634.55233400522661</v>
      </c>
      <c r="M96" s="6">
        <v>15.92008630002498</v>
      </c>
      <c r="N96" s="6">
        <v>67.057398380299986</v>
      </c>
      <c r="O96" s="6">
        <v>22.446383629300001</v>
      </c>
      <c r="P96" s="6">
        <v>2.1986666957000001</v>
      </c>
      <c r="Q96" s="6">
        <v>1.7736787368316669</v>
      </c>
    </row>
    <row r="97" spans="1:17">
      <c r="A97" s="2">
        <v>43070</v>
      </c>
      <c r="B97" s="3">
        <v>6.6164993193548369</v>
      </c>
      <c r="C97" s="3">
        <v>6.6164993193548369</v>
      </c>
      <c r="D97" s="3">
        <v>6.6164993193548369</v>
      </c>
      <c r="E97" s="4">
        <v>2.8521146032258065E-2</v>
      </c>
      <c r="F97" s="5">
        <v>32517.103080000001</v>
      </c>
      <c r="G97" s="5">
        <v>1391.2563710000004</v>
      </c>
      <c r="H97" s="5">
        <v>244.481969799365</v>
      </c>
      <c r="I97" s="6">
        <v>17.50162525396463</v>
      </c>
      <c r="J97" s="5">
        <v>1834.8819192099872</v>
      </c>
      <c r="K97" s="6">
        <v>78.506106442247685</v>
      </c>
      <c r="L97" s="5">
        <v>752.67250151785163</v>
      </c>
      <c r="M97" s="6">
        <v>17.946242461216823</v>
      </c>
      <c r="N97" s="6">
        <v>66.532617924500016</v>
      </c>
      <c r="O97" s="6">
        <v>18.029854955399998</v>
      </c>
      <c r="P97" s="6">
        <v>-0.11645161645161299</v>
      </c>
      <c r="Q97" s="6">
        <v>8.7940445316774168E-2</v>
      </c>
    </row>
    <row r="98" spans="1:17">
      <c r="A98" s="2">
        <v>43101</v>
      </c>
      <c r="B98" s="3">
        <v>7.1544496838709675</v>
      </c>
      <c r="C98" s="3">
        <v>7.1544496838709675</v>
      </c>
      <c r="D98" s="3">
        <v>7.1544496838709675</v>
      </c>
      <c r="E98" s="4">
        <v>2.7236829325806452E-2</v>
      </c>
      <c r="F98" s="5">
        <v>35165.795749999997</v>
      </c>
      <c r="G98" s="5">
        <v>1492.5935469999997</v>
      </c>
      <c r="H98" s="5">
        <v>206.81264662614959</v>
      </c>
      <c r="I98" s="6">
        <v>14.198924835662037</v>
      </c>
      <c r="J98" s="5">
        <v>1835.1381061992547</v>
      </c>
      <c r="K98" s="6">
        <v>77.891464782662098</v>
      </c>
      <c r="L98" s="5">
        <v>824.24856428748728</v>
      </c>
      <c r="M98" s="6">
        <v>18.182288362801312</v>
      </c>
      <c r="N98" s="6">
        <v>60.908491593000008</v>
      </c>
      <c r="O98" s="6">
        <v>16.316084830000001</v>
      </c>
      <c r="P98" s="6">
        <v>-1.5812903425483873</v>
      </c>
      <c r="Q98" s="6">
        <v>4.8539843327199038E-2</v>
      </c>
    </row>
    <row r="99" spans="1:17">
      <c r="A99" s="2">
        <v>43132</v>
      </c>
      <c r="B99" s="3">
        <v>4.9151212785714282</v>
      </c>
      <c r="C99" s="3">
        <v>4.9151212785714282</v>
      </c>
      <c r="D99" s="3">
        <v>4.9151212785714282</v>
      </c>
      <c r="E99" s="4">
        <v>1.4143493135714289E-2</v>
      </c>
      <c r="F99" s="5">
        <v>20658.081330000005</v>
      </c>
      <c r="G99" s="5">
        <v>823.97414000000003</v>
      </c>
      <c r="H99" s="5">
        <v>100.93756043267986</v>
      </c>
      <c r="I99" s="3">
        <v>7.0394586043774119</v>
      </c>
      <c r="J99" s="5">
        <v>1737.3365156611369</v>
      </c>
      <c r="K99" s="6">
        <v>69.295902538101572</v>
      </c>
      <c r="L99" s="5">
        <v>797.94800716012776</v>
      </c>
      <c r="M99" s="6">
        <v>16.580210458171116</v>
      </c>
      <c r="N99" s="6">
        <v>31.610557576000001</v>
      </c>
      <c r="O99" s="3">
        <v>7.7615842988999999</v>
      </c>
      <c r="P99" s="6">
        <v>-4.7557143117857148</v>
      </c>
      <c r="Q99" s="6">
        <v>1.7301546445714288E-3</v>
      </c>
    </row>
    <row r="100" spans="1:17">
      <c r="A100" s="2">
        <v>43160</v>
      </c>
      <c r="B100" s="3">
        <v>1.990408732258065</v>
      </c>
      <c r="C100" s="3">
        <v>1.990408732258065</v>
      </c>
      <c r="D100" s="3">
        <v>1.990408732258065</v>
      </c>
      <c r="E100" s="4">
        <v>9.7703601258064508E-3</v>
      </c>
      <c r="F100" s="5">
        <v>9233.6482300000007</v>
      </c>
      <c r="G100" s="5">
        <v>329.45151770000007</v>
      </c>
      <c r="H100" s="6">
        <v>79.729637460314592</v>
      </c>
      <c r="I100" s="3">
        <v>5.7979719354168182</v>
      </c>
      <c r="J100" s="5">
        <v>1732.0307715524743</v>
      </c>
      <c r="K100" s="6">
        <v>61.797909017094199</v>
      </c>
      <c r="L100" s="5">
        <v>852.82329915707317</v>
      </c>
      <c r="M100" s="6">
        <v>16.572462908218871</v>
      </c>
      <c r="N100" s="6">
        <v>26.146458920000001</v>
      </c>
      <c r="O100" s="3">
        <v>7.1624585629999995</v>
      </c>
      <c r="P100" s="6">
        <v>-3.161612887096775</v>
      </c>
      <c r="Q100" s="6">
        <v>2.589795776580645E-3</v>
      </c>
    </row>
    <row r="101" spans="1:17">
      <c r="A101" s="2">
        <v>43191</v>
      </c>
      <c r="B101" s="3">
        <v>7.6915907666666667</v>
      </c>
      <c r="C101" s="3">
        <v>7.6915907666666667</v>
      </c>
      <c r="D101" s="3">
        <v>7.6915907666666667</v>
      </c>
      <c r="E101" s="4">
        <v>2.8304737663333326E-2</v>
      </c>
      <c r="F101" s="5">
        <v>32128.791230000003</v>
      </c>
      <c r="G101" s="5">
        <v>1508.1071639999996</v>
      </c>
      <c r="H101" s="5">
        <v>196.65970527742283</v>
      </c>
      <c r="I101" s="6">
        <v>14.365705862971044</v>
      </c>
      <c r="J101" s="5">
        <v>1611.5478199512399</v>
      </c>
      <c r="K101" s="6">
        <v>75.645137386303389</v>
      </c>
      <c r="L101" s="5">
        <v>826.78932296793005</v>
      </c>
      <c r="M101" s="6">
        <v>16.887938192484306</v>
      </c>
      <c r="N101" s="6">
        <v>35.523261261999998</v>
      </c>
      <c r="O101" s="6">
        <v>32.232995741799996</v>
      </c>
      <c r="P101" s="6">
        <v>5.869666696666668</v>
      </c>
      <c r="Q101" s="6">
        <v>4.0533132887366667</v>
      </c>
    </row>
    <row r="102" spans="1:17">
      <c r="A102" s="2">
        <v>43221</v>
      </c>
      <c r="B102" s="3">
        <v>2.1664890719354841</v>
      </c>
      <c r="C102" s="3">
        <v>2.1664890719354841</v>
      </c>
      <c r="D102" s="3">
        <v>2.1664890719354841</v>
      </c>
      <c r="E102" s="4">
        <v>1.9286070890322576E-3</v>
      </c>
      <c r="F102" s="5">
        <v>7413.4635089999992</v>
      </c>
      <c r="G102" s="5">
        <v>261.88160780000004</v>
      </c>
      <c r="H102" s="3">
        <v>4.9137972838284796</v>
      </c>
      <c r="I102" s="4">
        <v>0.16716151036388116</v>
      </c>
      <c r="J102" s="5">
        <v>1277.583228518248</v>
      </c>
      <c r="K102" s="6">
        <v>45.13080137664064</v>
      </c>
      <c r="L102" s="5">
        <v>424.26328799897254</v>
      </c>
      <c r="M102" s="3">
        <v>5.8550105377759447</v>
      </c>
      <c r="N102" s="3">
        <v>7.9738641000000001</v>
      </c>
      <c r="O102" s="6">
        <v>57.733465800000005</v>
      </c>
      <c r="P102" s="6">
        <v>15.180322616129031</v>
      </c>
      <c r="Q102" s="6">
        <v>16.438766177419357</v>
      </c>
    </row>
    <row r="103" spans="1:17">
      <c r="A103" s="2">
        <v>43252</v>
      </c>
      <c r="B103" s="4">
        <v>0.46844875799999997</v>
      </c>
      <c r="C103" s="4">
        <v>0.46844875799999997</v>
      </c>
      <c r="D103" s="4">
        <v>0.46844875799999997</v>
      </c>
      <c r="E103" s="4">
        <v>1.1143411553333335E-3</v>
      </c>
      <c r="F103" s="5">
        <v>1273.3288149999998</v>
      </c>
      <c r="G103" s="6">
        <v>33.397664269999993</v>
      </c>
      <c r="H103" s="3">
        <v>1.8682823160426976</v>
      </c>
      <c r="I103" s="4">
        <v>0.15920588281329862</v>
      </c>
      <c r="J103" s="5">
        <v>1048.6811290985263</v>
      </c>
      <c r="K103" s="6">
        <v>27.50546439760712</v>
      </c>
      <c r="L103" s="6">
        <v>69.325877895960318</v>
      </c>
      <c r="M103" s="4">
        <v>0.32848503609947188</v>
      </c>
      <c r="N103" s="6">
        <v>36.876111129999998</v>
      </c>
      <c r="O103" s="6">
        <v>49.868272250000004</v>
      </c>
      <c r="P103" s="6">
        <v>16.026333189999999</v>
      </c>
      <c r="Q103" s="6">
        <v>17.474466500000002</v>
      </c>
    </row>
    <row r="104" spans="1:17">
      <c r="A104" s="2">
        <v>43282</v>
      </c>
      <c r="B104" s="4">
        <v>0.24028139129032255</v>
      </c>
      <c r="C104" s="4">
        <v>0.24028139129032255</v>
      </c>
      <c r="D104" s="4">
        <v>0.24028139129032255</v>
      </c>
      <c r="E104" s="4">
        <v>1.8597458867741932E-3</v>
      </c>
      <c r="F104" s="5">
        <v>620.04483099999993</v>
      </c>
      <c r="G104" s="6">
        <v>13.808565709999998</v>
      </c>
      <c r="H104" s="3">
        <v>4.2739717006895575</v>
      </c>
      <c r="I104" s="4">
        <v>0.45597642570915004</v>
      </c>
      <c r="J104" s="5">
        <v>963.44626089543306</v>
      </c>
      <c r="K104" s="6">
        <v>21.456208051546376</v>
      </c>
      <c r="L104" s="6">
        <v>39.496738141425197</v>
      </c>
      <c r="M104" s="3">
        <v>1.7522296099180052</v>
      </c>
      <c r="N104" s="6">
        <v>58.542779510000003</v>
      </c>
      <c r="O104" s="6">
        <v>56.400009699999991</v>
      </c>
      <c r="P104" s="6">
        <v>21.014193419354839</v>
      </c>
      <c r="Q104" s="6">
        <v>20.902037612903221</v>
      </c>
    </row>
    <row r="105" spans="1:17">
      <c r="A105" s="2">
        <v>43313</v>
      </c>
      <c r="B105" s="4">
        <v>0.28073934290322583</v>
      </c>
      <c r="C105" s="4">
        <v>0.28073934290322583</v>
      </c>
      <c r="D105" s="4">
        <v>0.28073934290322583</v>
      </c>
      <c r="E105" s="4">
        <v>1.4743244177419356E-3</v>
      </c>
      <c r="F105" s="5">
        <v>667.34706300000016</v>
      </c>
      <c r="G105" s="6">
        <v>14.273857970000003</v>
      </c>
      <c r="H105" s="3">
        <v>2.0826291982918232</v>
      </c>
      <c r="I105" s="4">
        <v>0.23116314007846725</v>
      </c>
      <c r="J105" s="5">
        <v>887.50951598422807</v>
      </c>
      <c r="K105" s="6">
        <v>18.982903519300471</v>
      </c>
      <c r="L105" s="6">
        <v>55.722148273768774</v>
      </c>
      <c r="M105" s="3">
        <v>2.699379695494355</v>
      </c>
      <c r="N105" s="6">
        <v>79.966238507</v>
      </c>
      <c r="O105" s="6">
        <v>72.295346799999976</v>
      </c>
      <c r="P105" s="6">
        <v>17.651612774193541</v>
      </c>
      <c r="Q105" s="6">
        <v>18.420639096774188</v>
      </c>
    </row>
    <row r="106" spans="1:17">
      <c r="A106" s="2">
        <v>43344</v>
      </c>
      <c r="B106" s="4">
        <v>0.25659822799999998</v>
      </c>
      <c r="C106" s="4">
        <v>0.25659822799999998</v>
      </c>
      <c r="D106" s="4">
        <v>0.25659822799999998</v>
      </c>
      <c r="E106" s="4">
        <v>1.1250485673333333E-3</v>
      </c>
      <c r="F106" s="5">
        <v>557.81170099999986</v>
      </c>
      <c r="G106" s="3">
        <v>9.3196899600000034</v>
      </c>
      <c r="H106" s="3">
        <v>1.1112497514621928</v>
      </c>
      <c r="I106" s="4">
        <v>0.10834467415739832</v>
      </c>
      <c r="J106" s="5">
        <v>838.68514761044287</v>
      </c>
      <c r="K106" s="6">
        <v>14.012408744791706</v>
      </c>
      <c r="L106" s="5">
        <v>135.91843427655033</v>
      </c>
      <c r="M106" s="3">
        <v>4.8205734831939644</v>
      </c>
      <c r="N106" s="6">
        <v>54.625974114999998</v>
      </c>
      <c r="O106" s="6">
        <v>46.260911370000002</v>
      </c>
      <c r="P106" s="6">
        <v>12.835666693333339</v>
      </c>
      <c r="Q106" s="6">
        <v>13.149593096666667</v>
      </c>
    </row>
    <row r="107" spans="1:17">
      <c r="A107" s="2">
        <v>43374</v>
      </c>
      <c r="B107" s="4">
        <v>0.2657344467741935</v>
      </c>
      <c r="C107" s="4">
        <v>0.2657344467741935</v>
      </c>
      <c r="D107" s="4">
        <v>0.2657344467741935</v>
      </c>
      <c r="E107" s="4">
        <v>9.027305629032259E-4</v>
      </c>
      <c r="F107" s="5">
        <v>585.71094200000005</v>
      </c>
      <c r="G107" s="3">
        <v>9.8031496600000008</v>
      </c>
      <c r="H107" s="3">
        <v>1.3338376204932394</v>
      </c>
      <c r="I107" s="4">
        <v>7.9609944176219249E-2</v>
      </c>
      <c r="J107" s="5">
        <v>822.92456974317008</v>
      </c>
      <c r="K107" s="6">
        <v>13.773436821544225</v>
      </c>
      <c r="L107" s="5">
        <v>258.59928747315831</v>
      </c>
      <c r="M107" s="3">
        <v>8.6625380056530208</v>
      </c>
      <c r="N107" s="6">
        <v>29.962395215000004</v>
      </c>
      <c r="O107" s="6">
        <v>24.586519410000008</v>
      </c>
      <c r="P107" s="6">
        <v>7.2635484068064473</v>
      </c>
      <c r="Q107" s="6">
        <v>6.7840983064516145</v>
      </c>
    </row>
    <row r="108" spans="1:17">
      <c r="A108" s="2">
        <v>43405</v>
      </c>
      <c r="B108" s="4">
        <v>0.29874343899999994</v>
      </c>
      <c r="C108" s="4">
        <v>0.29874343899999994</v>
      </c>
      <c r="D108" s="4">
        <v>0.29874343899999994</v>
      </c>
      <c r="E108" s="4">
        <v>7.8725391633333334E-4</v>
      </c>
      <c r="F108" s="5">
        <v>654.02928999999995</v>
      </c>
      <c r="G108" s="6">
        <v>10.878757169999998</v>
      </c>
      <c r="H108" s="3">
        <v>1.4022817253226041</v>
      </c>
      <c r="I108" s="4">
        <v>5.7664239176525897E-2</v>
      </c>
      <c r="J108" s="5">
        <v>844.62474920078762</v>
      </c>
      <c r="K108" s="6">
        <v>14.049015526409161</v>
      </c>
      <c r="L108" s="5">
        <v>356.51437069949185</v>
      </c>
      <c r="M108" s="6">
        <v>10.534511834702132</v>
      </c>
      <c r="N108" s="6">
        <v>25.032924481999999</v>
      </c>
      <c r="O108" s="6">
        <v>15.264896034699998</v>
      </c>
      <c r="P108" s="6">
        <v>3.1586666366666667</v>
      </c>
      <c r="Q108" s="6">
        <v>3.5371931434753674</v>
      </c>
    </row>
    <row r="109" spans="1:17">
      <c r="A109" s="2">
        <v>43435</v>
      </c>
      <c r="B109" s="4">
        <v>0.94656281935483855</v>
      </c>
      <c r="C109" s="4">
        <v>0.94656281935483855</v>
      </c>
      <c r="D109" s="4">
        <v>0.94656281935483855</v>
      </c>
      <c r="E109" s="4">
        <v>2.7270240290322581E-3</v>
      </c>
      <c r="F109" s="5">
        <v>2636.4321169999998</v>
      </c>
      <c r="G109" s="6">
        <v>43.076520020000004</v>
      </c>
      <c r="H109" s="3">
        <v>8.2640849870925521</v>
      </c>
      <c r="I109" s="4">
        <v>0.19688709889977155</v>
      </c>
      <c r="J109" s="5">
        <v>1039.9002781107879</v>
      </c>
      <c r="K109" s="6">
        <v>16.990873861839432</v>
      </c>
      <c r="L109" s="5">
        <v>442.24268625147374</v>
      </c>
      <c r="M109" s="3">
        <v>9.4604147569930515</v>
      </c>
      <c r="N109" s="6">
        <v>47.015742304999996</v>
      </c>
      <c r="O109" s="6">
        <v>13.471589641299998</v>
      </c>
      <c r="P109" s="6">
        <v>-0.50419354780645154</v>
      </c>
      <c r="Q109" s="6">
        <v>2.2665184694000001E-2</v>
      </c>
    </row>
    <row r="110" spans="1:17">
      <c r="A110" s="2">
        <v>43466</v>
      </c>
      <c r="B110" s="3">
        <v>1.5099018193548388</v>
      </c>
      <c r="C110" s="3">
        <v>1.5099018193548388</v>
      </c>
      <c r="D110" s="3">
        <v>1.5099018193548388</v>
      </c>
      <c r="E110" s="4">
        <v>3.4814667806451617E-3</v>
      </c>
      <c r="F110" s="5">
        <v>4683.2675899999986</v>
      </c>
      <c r="G110" s="6">
        <v>81.441243799999995</v>
      </c>
      <c r="H110" s="6">
        <v>13.00990903723007</v>
      </c>
      <c r="I110" s="4">
        <v>0.50847314142069999</v>
      </c>
      <c r="J110" s="5">
        <v>1158.043312562093</v>
      </c>
      <c r="K110" s="6">
        <v>20.138180557707209</v>
      </c>
      <c r="L110" s="5">
        <v>493.83843348676373</v>
      </c>
      <c r="M110" s="3">
        <v>9.4355736460788382</v>
      </c>
      <c r="N110" s="6">
        <v>42.981724479999997</v>
      </c>
      <c r="O110" s="6">
        <v>10.983283974999996</v>
      </c>
      <c r="P110" s="6">
        <v>-3.849354861354839</v>
      </c>
      <c r="Q110" s="6">
        <v>2.1118503486774196E-3</v>
      </c>
    </row>
    <row r="111" spans="1:17">
      <c r="A111" s="2">
        <v>43497</v>
      </c>
      <c r="B111" s="3">
        <v>4.375744389285714</v>
      </c>
      <c r="C111" s="3">
        <v>4.375744389285714</v>
      </c>
      <c r="D111" s="3">
        <v>4.375744389285714</v>
      </c>
      <c r="E111" s="4">
        <v>2.8459453078571433E-2</v>
      </c>
      <c r="F111" s="5">
        <v>18138.976210000001</v>
      </c>
      <c r="G111" s="5">
        <v>953.59845229999996</v>
      </c>
      <c r="H111" s="5">
        <v>228.15804655660509</v>
      </c>
      <c r="I111" s="6">
        <v>17.021278705459238</v>
      </c>
      <c r="J111" s="5">
        <v>1713.5194466740641</v>
      </c>
      <c r="K111" s="6">
        <v>90.082783129346168</v>
      </c>
      <c r="L111" s="5">
        <v>894.5938909486473</v>
      </c>
      <c r="M111" s="6">
        <v>19.213218984233244</v>
      </c>
      <c r="N111" s="6">
        <v>42.628114489999994</v>
      </c>
      <c r="O111" s="6">
        <v>15.881535097000002</v>
      </c>
      <c r="P111" s="6">
        <v>0.62678571803571415</v>
      </c>
      <c r="Q111" s="6">
        <v>0.30316292396749994</v>
      </c>
    </row>
    <row r="112" spans="1:17">
      <c r="A112" s="2">
        <v>43525</v>
      </c>
      <c r="B112" s="3">
        <v>6.5009266161290338</v>
      </c>
      <c r="C112" s="3">
        <v>6.5009266161290338</v>
      </c>
      <c r="D112" s="3">
        <v>6.5009266161290338</v>
      </c>
      <c r="E112" s="4">
        <v>2.3822674919354848E-2</v>
      </c>
      <c r="F112" s="5">
        <v>31056.502270000001</v>
      </c>
      <c r="G112" s="5">
        <v>1389.2920779999997</v>
      </c>
      <c r="H112" s="5">
        <v>189.39845742157291</v>
      </c>
      <c r="I112" s="6">
        <v>13.184664964413274</v>
      </c>
      <c r="J112" s="5">
        <v>1783.6178743444921</v>
      </c>
      <c r="K112" s="6">
        <v>79.788966079901485</v>
      </c>
      <c r="L112" s="5">
        <v>835.91878448056445</v>
      </c>
      <c r="M112" s="6">
        <v>17.077667304590744</v>
      </c>
      <c r="N112" s="6">
        <v>56.172767268000001</v>
      </c>
      <c r="O112" s="6">
        <v>22.473230305000001</v>
      </c>
      <c r="P112" s="6">
        <v>1.5312903293548386</v>
      </c>
      <c r="Q112" s="6">
        <v>1.3460186535741936</v>
      </c>
    </row>
    <row r="113" spans="1:17">
      <c r="A113" s="2">
        <v>43556</v>
      </c>
      <c r="B113" s="3">
        <v>2.8546647200000006</v>
      </c>
      <c r="C113" s="3">
        <v>2.8546647200000006</v>
      </c>
      <c r="D113" s="3">
        <v>2.8546647200000006</v>
      </c>
      <c r="E113" s="4">
        <v>3.1317978866666663E-3</v>
      </c>
      <c r="F113" s="5">
        <v>12576.164869999999</v>
      </c>
      <c r="G113" s="5">
        <v>436.44389990000008</v>
      </c>
      <c r="H113" s="6">
        <v>12.063192541524062</v>
      </c>
      <c r="I113" s="4">
        <v>0.43038413071530535</v>
      </c>
      <c r="J113" s="5">
        <v>1699.6444984369616</v>
      </c>
      <c r="K113" s="6">
        <v>58.984553872578743</v>
      </c>
      <c r="L113" s="5">
        <v>705.10182896858089</v>
      </c>
      <c r="M113" s="6">
        <v>12.956343010181811</v>
      </c>
      <c r="N113" s="3">
        <v>5.380424498</v>
      </c>
      <c r="O113" s="6">
        <v>26.816449957150002</v>
      </c>
      <c r="P113" s="6">
        <v>6.6596666303333327</v>
      </c>
      <c r="Q113" s="6">
        <v>7.6379843599999999</v>
      </c>
    </row>
    <row r="114" spans="1:17">
      <c r="A114" s="2">
        <v>43586</v>
      </c>
      <c r="B114" s="4">
        <v>0.88034234774193554</v>
      </c>
      <c r="C114" s="4">
        <v>0.88034234774193554</v>
      </c>
      <c r="D114" s="4">
        <v>0.88034234774193554</v>
      </c>
      <c r="E114" s="4">
        <v>1.38579977483871E-3</v>
      </c>
      <c r="F114" s="5">
        <v>3594.6697490000006</v>
      </c>
      <c r="G114" s="6">
        <v>90.463123900000014</v>
      </c>
      <c r="H114" s="3">
        <v>2.4302524620510786</v>
      </c>
      <c r="I114" s="4">
        <v>0.11648844809088181</v>
      </c>
      <c r="J114" s="5">
        <v>1524.5158651351437</v>
      </c>
      <c r="K114" s="6">
        <v>38.365823932339623</v>
      </c>
      <c r="L114" s="5">
        <v>545.32547176784522</v>
      </c>
      <c r="M114" s="3">
        <v>8.0214038914521044</v>
      </c>
      <c r="N114" s="6">
        <v>65.628005303999998</v>
      </c>
      <c r="O114" s="6">
        <v>59.166651740000006</v>
      </c>
      <c r="P114" s="6">
        <v>10.053548358064516</v>
      </c>
      <c r="Q114" s="6">
        <v>11.642214032258069</v>
      </c>
    </row>
    <row r="115" spans="1:17">
      <c r="A115" s="2">
        <v>43617</v>
      </c>
      <c r="B115" s="4">
        <v>0.46550880733333344</v>
      </c>
      <c r="C115" s="4">
        <v>0.46550880733333344</v>
      </c>
      <c r="D115" s="4">
        <v>0.46550880733333344</v>
      </c>
      <c r="E115" s="4">
        <v>7.3151928266666658E-4</v>
      </c>
      <c r="F115" s="5">
        <v>1591.1108540000002</v>
      </c>
      <c r="G115" s="6">
        <v>31.224713439999995</v>
      </c>
      <c r="H115" s="4">
        <v>0.86140705603306844</v>
      </c>
      <c r="I115" s="4">
        <v>5.6203080645444402E-2</v>
      </c>
      <c r="J115" s="5">
        <v>1318.6742303437009</v>
      </c>
      <c r="K115" s="6">
        <v>25.878288158218606</v>
      </c>
      <c r="L115" s="5">
        <v>349.77113031957549</v>
      </c>
      <c r="M115" s="3">
        <v>2.5647317820519193</v>
      </c>
      <c r="N115" s="6">
        <v>37.246457524</v>
      </c>
      <c r="O115" s="6">
        <v>73.791066999999998</v>
      </c>
      <c r="P115" s="6">
        <v>17.165999833333334</v>
      </c>
      <c r="Q115" s="6">
        <v>18.153598366666664</v>
      </c>
    </row>
    <row r="116" spans="1:17">
      <c r="A116" s="2">
        <v>43647</v>
      </c>
      <c r="B116" s="4">
        <v>0.40769555838709676</v>
      </c>
      <c r="C116" s="4">
        <v>0.40769555838709676</v>
      </c>
      <c r="D116" s="4">
        <v>0.40769555838709676</v>
      </c>
      <c r="E116" s="4">
        <v>1.8699001029032259E-3</v>
      </c>
      <c r="F116" s="5">
        <v>1236.8607529999999</v>
      </c>
      <c r="G116" s="6">
        <v>21.607395370000003</v>
      </c>
      <c r="H116" s="3">
        <v>4.1149608999662881</v>
      </c>
      <c r="I116" s="4">
        <v>0.37214816845240506</v>
      </c>
      <c r="J116" s="5">
        <v>1132.685571197653</v>
      </c>
      <c r="K116" s="6">
        <v>19.78750246909507</v>
      </c>
      <c r="L116" s="5">
        <v>204.52937945449867</v>
      </c>
      <c r="M116" s="3">
        <v>1.3893442785253078</v>
      </c>
      <c r="N116" s="6">
        <v>81.58884698</v>
      </c>
      <c r="O116" s="6">
        <v>78.881367699999984</v>
      </c>
      <c r="P116" s="6">
        <v>16.175161161290323</v>
      </c>
      <c r="Q116" s="6">
        <v>17.388132516129033</v>
      </c>
    </row>
    <row r="117" spans="1:17">
      <c r="A117" s="2">
        <v>43678</v>
      </c>
      <c r="B117" s="4">
        <v>0.50553180322580638</v>
      </c>
      <c r="C117" s="4">
        <v>0.50553180322580638</v>
      </c>
      <c r="D117" s="4">
        <v>0.50553180322580638</v>
      </c>
      <c r="E117" s="4">
        <v>1.9037739448387095E-3</v>
      </c>
      <c r="F117" s="5">
        <v>1421.014465</v>
      </c>
      <c r="G117" s="6">
        <v>22.350558920000001</v>
      </c>
      <c r="H117" s="3">
        <v>3.426884007386104</v>
      </c>
      <c r="I117" s="4">
        <v>0.26070329450379198</v>
      </c>
      <c r="J117" s="5">
        <v>1049.4809622248856</v>
      </c>
      <c r="K117" s="6">
        <v>16.506859273578385</v>
      </c>
      <c r="L117" s="5">
        <v>187.27694640034758</v>
      </c>
      <c r="M117" s="3">
        <v>1.5146102355147624</v>
      </c>
      <c r="N117" s="6">
        <v>80.730863663999997</v>
      </c>
      <c r="O117" s="6">
        <v>74.048058399999988</v>
      </c>
      <c r="P117" s="6">
        <v>16.630645290322583</v>
      </c>
      <c r="Q117" s="6">
        <v>17.351536290322585</v>
      </c>
    </row>
    <row r="118" spans="1:17">
      <c r="A118" s="2">
        <v>43709</v>
      </c>
      <c r="B118" s="4">
        <v>0.47143088833333341</v>
      </c>
      <c r="C118" s="4">
        <v>0.47143088833333341</v>
      </c>
      <c r="D118" s="4">
        <v>0.47143088833333341</v>
      </c>
      <c r="E118" s="4">
        <v>9.2019876366666658E-4</v>
      </c>
      <c r="F118" s="5">
        <v>1249.39192</v>
      </c>
      <c r="G118" s="6">
        <v>15.358549900000002</v>
      </c>
      <c r="H118" s="3">
        <v>1.1668360245667257</v>
      </c>
      <c r="I118" s="4">
        <v>0.10399419558224195</v>
      </c>
      <c r="J118" s="5">
        <v>1022.4583810086576</v>
      </c>
      <c r="K118" s="6">
        <v>12.568897045260147</v>
      </c>
      <c r="L118" s="5">
        <v>206.75255514615696</v>
      </c>
      <c r="M118" s="3">
        <v>1.3076157181668568</v>
      </c>
      <c r="N118" s="6">
        <v>50.873852635000013</v>
      </c>
      <c r="O118" s="6">
        <v>44.637611409999998</v>
      </c>
      <c r="P118" s="6">
        <v>11.597000046666667</v>
      </c>
      <c r="Q118" s="6">
        <v>12.391396953333331</v>
      </c>
    </row>
    <row r="119" spans="1:17">
      <c r="A119" s="2">
        <v>43739</v>
      </c>
      <c r="B119" s="3">
        <v>1.1092610796774194</v>
      </c>
      <c r="C119" s="3">
        <v>1.1092610796774194</v>
      </c>
      <c r="D119" s="3">
        <v>1.1092610796774194</v>
      </c>
      <c r="E119" s="4">
        <v>4.1328177490322594E-3</v>
      </c>
      <c r="F119" s="5">
        <v>3349.3782489999999</v>
      </c>
      <c r="G119" s="6">
        <v>50.258629410000005</v>
      </c>
      <c r="H119" s="6">
        <v>10.545706376694309</v>
      </c>
      <c r="I119" s="4">
        <v>0.33236273622189794</v>
      </c>
      <c r="J119" s="5">
        <v>1127.3401124299326</v>
      </c>
      <c r="K119" s="6">
        <v>16.916145169886708</v>
      </c>
      <c r="L119" s="5">
        <v>302.97389854864247</v>
      </c>
      <c r="M119" s="3">
        <v>5.2462088167138807</v>
      </c>
      <c r="N119" s="6">
        <v>78.706043300999994</v>
      </c>
      <c r="O119" s="6">
        <v>35.141836456999997</v>
      </c>
      <c r="P119" s="6">
        <v>5.8648386948387108</v>
      </c>
      <c r="Q119" s="6">
        <v>5.9958166225806453</v>
      </c>
    </row>
    <row r="120" spans="1:17">
      <c r="A120" s="2">
        <v>43770</v>
      </c>
      <c r="B120" s="3">
        <v>3.4737223699999995</v>
      </c>
      <c r="C120" s="3">
        <v>3.4737223699999995</v>
      </c>
      <c r="D120" s="3">
        <v>3.4737223699999995</v>
      </c>
      <c r="E120" s="4">
        <v>1.8860173043333334E-2</v>
      </c>
      <c r="F120" s="5">
        <v>13054.622339999998</v>
      </c>
      <c r="G120" s="5">
        <v>546.23286429999996</v>
      </c>
      <c r="H120" s="5">
        <v>148.78434184820776</v>
      </c>
      <c r="I120" s="6">
        <v>11.233684052576889</v>
      </c>
      <c r="J120" s="5">
        <v>1449.8870880426855</v>
      </c>
      <c r="K120" s="6">
        <v>60.666327113742732</v>
      </c>
      <c r="L120" s="5">
        <v>540.50676146666171</v>
      </c>
      <c r="M120" s="6">
        <v>12.648565579571935</v>
      </c>
      <c r="N120" s="6">
        <v>79.613620134000016</v>
      </c>
      <c r="O120" s="6">
        <v>25.761845789199999</v>
      </c>
      <c r="P120" s="6">
        <v>2.4223333436666663</v>
      </c>
      <c r="Q120" s="6">
        <v>1.9557967766666668</v>
      </c>
    </row>
    <row r="121" spans="1:17">
      <c r="A121" s="2">
        <v>43800</v>
      </c>
      <c r="B121" s="6">
        <v>11.3724987516129</v>
      </c>
      <c r="C121" s="6">
        <v>11.3724987516129</v>
      </c>
      <c r="D121" s="6">
        <v>11.3724987516129</v>
      </c>
      <c r="E121" s="4">
        <v>4.5956120612903203E-2</v>
      </c>
      <c r="F121" s="5">
        <v>53909.741099999999</v>
      </c>
      <c r="G121" s="5">
        <v>2629.2375879999995</v>
      </c>
      <c r="H121" s="5">
        <v>378.86158856039191</v>
      </c>
      <c r="I121" s="6">
        <v>27.232543045511498</v>
      </c>
      <c r="J121" s="5">
        <v>1769.8476520435215</v>
      </c>
      <c r="K121" s="6">
        <v>86.31742386985178</v>
      </c>
      <c r="L121" s="5">
        <v>743.67047168280135</v>
      </c>
      <c r="M121" s="6">
        <v>17.860627044815203</v>
      </c>
      <c r="N121" s="6">
        <v>84.667203870000009</v>
      </c>
      <c r="O121" s="6">
        <v>25.768356958000002</v>
      </c>
      <c r="P121" s="6">
        <v>1.362580648064516</v>
      </c>
      <c r="Q121" s="6">
        <v>0.53870119531612914</v>
      </c>
    </row>
    <row r="122" spans="1:17">
      <c r="A122" s="2">
        <v>43831</v>
      </c>
      <c r="B122" s="3">
        <v>4.2988329967741929</v>
      </c>
      <c r="C122" s="3">
        <v>4.2988329967741929</v>
      </c>
      <c r="D122" s="3">
        <v>4.2988329967741929</v>
      </c>
      <c r="E122" s="4">
        <v>8.1410497193548405E-3</v>
      </c>
      <c r="F122" s="5">
        <v>19382.00877</v>
      </c>
      <c r="G122" s="5">
        <v>733.16496099999995</v>
      </c>
      <c r="H122" s="6">
        <v>51.80287078824189</v>
      </c>
      <c r="I122" s="3">
        <v>2.9754570371124522</v>
      </c>
      <c r="J122" s="5">
        <v>1683.3435455071549</v>
      </c>
      <c r="K122" s="6">
        <v>63.675985504715541</v>
      </c>
      <c r="L122" s="5">
        <v>669.26367129214464</v>
      </c>
      <c r="M122" s="6">
        <v>14.585976519100743</v>
      </c>
      <c r="N122" s="6">
        <v>20.400969685</v>
      </c>
      <c r="O122" s="6">
        <v>13.031589504499999</v>
      </c>
      <c r="P122" s="6">
        <v>2.9516129403225801</v>
      </c>
      <c r="Q122" s="6">
        <v>1.9767020922580643</v>
      </c>
    </row>
    <row r="123" spans="1:17">
      <c r="A123" s="2">
        <v>43862</v>
      </c>
      <c r="B123" s="3">
        <v>2.5471825310344833</v>
      </c>
      <c r="C123" s="3">
        <v>2.5471825310344833</v>
      </c>
      <c r="D123" s="3">
        <v>2.5471825310344833</v>
      </c>
      <c r="E123" s="4">
        <v>9.5770319827586173E-3</v>
      </c>
      <c r="F123" s="5">
        <v>10721.370949999999</v>
      </c>
      <c r="G123" s="5">
        <v>347.7295729999999</v>
      </c>
      <c r="H123" s="6">
        <v>65.840784576464273</v>
      </c>
      <c r="I123" s="3">
        <v>4.3221436143593364</v>
      </c>
      <c r="J123" s="5">
        <v>1679.8809148609255</v>
      </c>
      <c r="K123" s="6">
        <v>54.484103214942436</v>
      </c>
      <c r="L123" s="5">
        <v>716.25179241415015</v>
      </c>
      <c r="M123" s="6">
        <v>14.129811789370567</v>
      </c>
      <c r="N123" s="6">
        <v>28.894233909</v>
      </c>
      <c r="O123" s="6">
        <v>13.271055034000002</v>
      </c>
      <c r="P123" s="6">
        <v>1.6093103517241381</v>
      </c>
      <c r="Q123" s="6">
        <v>1.2823289721413791</v>
      </c>
    </row>
    <row r="124" spans="1:17">
      <c r="A124" s="2">
        <v>43891</v>
      </c>
      <c r="B124" s="3">
        <v>4.3134334935483869</v>
      </c>
      <c r="C124" s="3">
        <v>4.3134334935483869</v>
      </c>
      <c r="D124" s="3">
        <v>4.3134334935483869</v>
      </c>
      <c r="E124" s="4">
        <v>1.6606526261290323E-2</v>
      </c>
      <c r="F124" s="5">
        <v>19655.010839999999</v>
      </c>
      <c r="G124" s="5">
        <v>815.67388600000004</v>
      </c>
      <c r="H124" s="5">
        <v>128.26772559107991</v>
      </c>
      <c r="I124" s="3">
        <v>9.3399965476524489</v>
      </c>
      <c r="J124" s="5">
        <v>1701.2757812875043</v>
      </c>
      <c r="K124" s="6">
        <v>70.602160752307256</v>
      </c>
      <c r="L124" s="5">
        <v>800.26691794004967</v>
      </c>
      <c r="M124" s="6">
        <v>15.931195885510867</v>
      </c>
      <c r="N124" s="6">
        <v>33.606428309999998</v>
      </c>
      <c r="O124" s="6">
        <v>17.258461458000006</v>
      </c>
      <c r="P124" s="6">
        <v>2.4558064780645164</v>
      </c>
      <c r="Q124" s="6">
        <v>2.2964777597096773</v>
      </c>
    </row>
    <row r="125" spans="1:17">
      <c r="A125" s="2">
        <v>43922</v>
      </c>
      <c r="B125" s="3">
        <v>1.5196743636666667</v>
      </c>
      <c r="C125" s="3">
        <v>1.5196743636666667</v>
      </c>
      <c r="D125" s="3">
        <v>1.5196743636666667</v>
      </c>
      <c r="E125" s="4">
        <v>2.0450824160000002E-3</v>
      </c>
      <c r="F125" s="5">
        <v>6290.5701500000005</v>
      </c>
      <c r="G125" s="5">
        <v>198.60703350000003</v>
      </c>
      <c r="H125" s="3">
        <v>6.5751793081079128</v>
      </c>
      <c r="I125" s="4">
        <v>0.19168896603500163</v>
      </c>
      <c r="J125" s="5">
        <v>1596.9983057347208</v>
      </c>
      <c r="K125" s="6">
        <v>50.420723289609647</v>
      </c>
      <c r="L125" s="5">
        <v>714.06297466920114</v>
      </c>
      <c r="M125" s="6">
        <v>12.767672669279458</v>
      </c>
      <c r="N125" s="6">
        <v>17.086667132999999</v>
      </c>
      <c r="O125" s="6">
        <v>27.124682140000004</v>
      </c>
      <c r="P125" s="6">
        <v>5.9796666566666676</v>
      </c>
      <c r="Q125" s="6">
        <v>7.1210208966666668</v>
      </c>
    </row>
    <row r="126" spans="1:17">
      <c r="A126" s="2">
        <v>43952</v>
      </c>
      <c r="B126" s="3">
        <v>1.293637265483871</v>
      </c>
      <c r="C126" s="3">
        <v>1.293637265483871</v>
      </c>
      <c r="D126" s="3">
        <v>1.293637265483871</v>
      </c>
      <c r="E126" s="4">
        <v>4.0239947096774205E-3</v>
      </c>
      <c r="F126" s="5">
        <v>5066.2010200000004</v>
      </c>
      <c r="G126" s="5">
        <v>128.20898629999999</v>
      </c>
      <c r="H126" s="6">
        <v>17.019659478392619</v>
      </c>
      <c r="I126" s="3">
        <v>1.0752915507994143</v>
      </c>
      <c r="J126" s="5">
        <v>1462.1584875383692</v>
      </c>
      <c r="K126" s="6">
        <v>37.002451284149593</v>
      </c>
      <c r="L126" s="5">
        <v>614.79622338518061</v>
      </c>
      <c r="M126" s="3">
        <v>9.9813107441984705</v>
      </c>
      <c r="N126" s="6">
        <v>58.0859916</v>
      </c>
      <c r="O126" s="6">
        <v>52.386626460000002</v>
      </c>
      <c r="P126" s="6">
        <v>8.6206451903225805</v>
      </c>
      <c r="Q126" s="6">
        <v>10.007755899999999</v>
      </c>
    </row>
    <row r="127" spans="1:17">
      <c r="A127" s="2">
        <v>43983</v>
      </c>
      <c r="B127" s="4">
        <v>0.97276851099999995</v>
      </c>
      <c r="C127" s="4">
        <v>0.97276851099999995</v>
      </c>
      <c r="D127" s="4">
        <v>0.97276851099999995</v>
      </c>
      <c r="E127" s="4">
        <v>1.9184948953333339E-3</v>
      </c>
      <c r="F127" s="5">
        <v>3302.6229339999995</v>
      </c>
      <c r="G127" s="6">
        <v>76.168866400000013</v>
      </c>
      <c r="H127" s="3">
        <v>4.8382628127576748</v>
      </c>
      <c r="I127" s="4">
        <v>0.3972959145374082</v>
      </c>
      <c r="J127" s="5">
        <v>1309.8286000541852</v>
      </c>
      <c r="K127" s="6">
        <v>30.208765032617023</v>
      </c>
      <c r="L127" s="5">
        <v>446.38344735605773</v>
      </c>
      <c r="M127" s="3">
        <v>5.8526981474358735</v>
      </c>
      <c r="N127" s="6">
        <v>58.313191956000004</v>
      </c>
      <c r="O127" s="6">
        <v>81.577080199999983</v>
      </c>
      <c r="P127" s="6">
        <v>17.218999900000004</v>
      </c>
      <c r="Q127" s="6">
        <v>18.906202733333334</v>
      </c>
    </row>
    <row r="128" spans="1:17">
      <c r="A128" s="2">
        <v>44013</v>
      </c>
      <c r="B128" s="4">
        <v>0.61233518129032249</v>
      </c>
      <c r="C128" s="4">
        <v>0.61233518129032249</v>
      </c>
      <c r="D128" s="4">
        <v>0.61233518129032249</v>
      </c>
      <c r="E128" s="4">
        <v>2.4221379006451609E-3</v>
      </c>
      <c r="F128" s="5">
        <v>1825.7645040000002</v>
      </c>
      <c r="G128" s="6">
        <v>38.187454400000007</v>
      </c>
      <c r="H128" s="3">
        <v>5.8936099258098258</v>
      </c>
      <c r="I128" s="4">
        <v>0.49455975155370829</v>
      </c>
      <c r="J128" s="5">
        <v>1113.2176725950121</v>
      </c>
      <c r="K128" s="6">
        <v>23.283917120013985</v>
      </c>
      <c r="L128" s="5">
        <v>224.29578092059023</v>
      </c>
      <c r="M128" s="3">
        <v>1.2829263000015461</v>
      </c>
      <c r="N128" s="6">
        <v>96.716149819999998</v>
      </c>
      <c r="O128" s="6">
        <v>82.868741400000005</v>
      </c>
      <c r="P128" s="6">
        <v>15.330322548387096</v>
      </c>
      <c r="Q128" s="6">
        <v>17.069894806451618</v>
      </c>
    </row>
    <row r="129" spans="1:17">
      <c r="A129" s="2">
        <v>44044</v>
      </c>
      <c r="B129" s="4">
        <v>0.41744274806451609</v>
      </c>
      <c r="C129" s="4">
        <v>0.41744274806451609</v>
      </c>
      <c r="D129" s="4">
        <v>0.41744274806451609</v>
      </c>
      <c r="E129" s="4">
        <v>1.0523341280645163E-3</v>
      </c>
      <c r="F129" s="5">
        <v>1142.3896209999996</v>
      </c>
      <c r="G129" s="6">
        <v>18.510800399999997</v>
      </c>
      <c r="H129" s="3">
        <v>1.2628622723204963</v>
      </c>
      <c r="I129" s="4">
        <v>0.13372426898868875</v>
      </c>
      <c r="J129" s="5">
        <v>1021.7434669191697</v>
      </c>
      <c r="K129" s="6">
        <v>16.555900759959538</v>
      </c>
      <c r="L129" s="5">
        <v>180.77209255257324</v>
      </c>
      <c r="M129" s="4">
        <v>0.81455843025152253</v>
      </c>
      <c r="N129" s="6">
        <v>36.970279840900005</v>
      </c>
      <c r="O129" s="6">
        <v>57.70790852999999</v>
      </c>
      <c r="P129" s="6">
        <v>17.069999967741939</v>
      </c>
      <c r="Q129" s="6">
        <v>18.072689193548385</v>
      </c>
    </row>
    <row r="130" spans="1:17">
      <c r="A130" s="2">
        <v>44075</v>
      </c>
      <c r="B130" s="4">
        <v>0.28732125666666669</v>
      </c>
      <c r="C130" s="4">
        <v>0.28732125666666669</v>
      </c>
      <c r="D130" s="4">
        <v>0.28732125666666669</v>
      </c>
      <c r="E130" s="4">
        <v>7.2965320433333338E-4</v>
      </c>
      <c r="F130" s="5">
        <v>691.98183900000004</v>
      </c>
      <c r="G130" s="3">
        <v>9.4610209300000001</v>
      </c>
      <c r="H130" s="4">
        <v>0.78734149864041647</v>
      </c>
      <c r="I130" s="4">
        <v>6.811758508183284E-2</v>
      </c>
      <c r="J130" s="5">
        <v>929.16302257764175</v>
      </c>
      <c r="K130" s="6">
        <v>12.703846367334108</v>
      </c>
      <c r="L130" s="5">
        <v>171.92696212345743</v>
      </c>
      <c r="M130" s="3">
        <v>2.1562112555540116</v>
      </c>
      <c r="N130" s="6">
        <v>37.076462880000008</v>
      </c>
      <c r="O130" s="6">
        <v>42.613985319999998</v>
      </c>
      <c r="P130" s="6">
        <v>12.49066667</v>
      </c>
      <c r="Q130" s="6">
        <v>12.356908266666666</v>
      </c>
    </row>
    <row r="131" spans="1:17">
      <c r="A131" s="2">
        <v>44105</v>
      </c>
      <c r="B131" s="4">
        <v>0.69087445580645157</v>
      </c>
      <c r="C131" s="4">
        <v>0.69087445580645157</v>
      </c>
      <c r="D131" s="4">
        <v>0.69087445580645157</v>
      </c>
      <c r="E131" s="4">
        <v>4.6006033732258053E-3</v>
      </c>
      <c r="F131" s="5">
        <v>1897.359727</v>
      </c>
      <c r="G131" s="6">
        <v>44.223366639999995</v>
      </c>
      <c r="H131" s="6">
        <v>11.75189600073357</v>
      </c>
      <c r="I131" s="4">
        <v>0.52436095019268281</v>
      </c>
      <c r="J131" s="5">
        <v>1025.3569600729425</v>
      </c>
      <c r="K131" s="6">
        <v>23.898861676136871</v>
      </c>
      <c r="L131" s="5">
        <v>300.09520687993796</v>
      </c>
      <c r="M131" s="3">
        <v>6.6341578525695661</v>
      </c>
      <c r="N131" s="5">
        <v>104.32457402440001</v>
      </c>
      <c r="O131" s="6">
        <v>45.73084721</v>
      </c>
      <c r="P131" s="6">
        <v>7.8332258161290333</v>
      </c>
      <c r="Q131" s="6">
        <v>7.6927700612903225</v>
      </c>
    </row>
    <row r="132" spans="1:17">
      <c r="A132" s="2">
        <v>44136</v>
      </c>
      <c r="B132" s="3">
        <v>1.9099423033333334</v>
      </c>
      <c r="C132" s="3">
        <v>1.9099423033333334</v>
      </c>
      <c r="D132" s="3">
        <v>1.9099423033333334</v>
      </c>
      <c r="E132" s="4">
        <v>4.4847816000000013E-3</v>
      </c>
      <c r="F132" s="5">
        <v>5463.0639100000008</v>
      </c>
      <c r="G132" s="5">
        <v>111.62387099999997</v>
      </c>
      <c r="H132" s="6">
        <v>21.164514787405302</v>
      </c>
      <c r="I132" s="3">
        <v>1.357141208638017</v>
      </c>
      <c r="J132" s="5">
        <v>1103.5220577671914</v>
      </c>
      <c r="K132" s="6">
        <v>22.547677478265367</v>
      </c>
      <c r="L132" s="5">
        <v>350.88126804323582</v>
      </c>
      <c r="M132" s="3">
        <v>7.960321981214121</v>
      </c>
      <c r="N132" s="6">
        <v>32.9177117674</v>
      </c>
      <c r="O132" s="6">
        <v>22.021184327999997</v>
      </c>
      <c r="P132" s="6">
        <v>5.4443333603666657</v>
      </c>
      <c r="Q132" s="6">
        <v>5.0602037750000006</v>
      </c>
    </row>
    <row r="133" spans="1:17">
      <c r="A133" s="2">
        <v>44166</v>
      </c>
      <c r="B133" s="3">
        <v>2.8429810096774197</v>
      </c>
      <c r="C133" s="3">
        <v>2.8429810096774197</v>
      </c>
      <c r="D133" s="3">
        <v>2.8429810096774197</v>
      </c>
      <c r="E133" s="4">
        <v>1.9146115500000005E-2</v>
      </c>
      <c r="F133" s="5">
        <v>11479.536899999999</v>
      </c>
      <c r="G133" s="5">
        <v>530.05757990000006</v>
      </c>
      <c r="H133" s="5">
        <v>167.85616322944119</v>
      </c>
      <c r="I133" s="6">
        <v>12.796244748377141</v>
      </c>
      <c r="J133" s="5">
        <v>1507.5612090655777</v>
      </c>
      <c r="K133" s="6">
        <v>69.610321481765695</v>
      </c>
      <c r="L133" s="5">
        <v>673.87006498531366</v>
      </c>
      <c r="M133" s="6">
        <v>15.84027244557212</v>
      </c>
      <c r="N133" s="6">
        <v>68.922028951000001</v>
      </c>
      <c r="O133" s="6">
        <v>23.696658060000004</v>
      </c>
      <c r="P133" s="6">
        <v>2.7558064374193547</v>
      </c>
      <c r="Q133" s="6">
        <v>1.5209983959870967</v>
      </c>
    </row>
    <row r="134" spans="1:17">
      <c r="A134" s="2">
        <v>44197</v>
      </c>
      <c r="B134" s="3">
        <v>5.420189822580646</v>
      </c>
      <c r="C134" s="3">
        <v>5.420189822580646</v>
      </c>
      <c r="D134" s="3">
        <v>5.420189822580646</v>
      </c>
      <c r="E134" s="4">
        <v>2.2527706299999999E-2</v>
      </c>
      <c r="F134" s="5">
        <v>25901.753069999999</v>
      </c>
      <c r="G134" s="5">
        <v>1427.1022280000004</v>
      </c>
      <c r="H134" s="5">
        <v>196.66448792504846</v>
      </c>
      <c r="I134" s="6">
        <v>13.983427717496802</v>
      </c>
      <c r="J134" s="5">
        <v>1784.1822323428669</v>
      </c>
      <c r="K134" s="6">
        <v>98.302629113224626</v>
      </c>
      <c r="L134" s="5">
        <v>826.97728347956331</v>
      </c>
      <c r="M134" s="6">
        <v>18.227688637494047</v>
      </c>
      <c r="N134" s="6">
        <v>68.112419719999991</v>
      </c>
      <c r="O134" s="6">
        <v>17.283190513999998</v>
      </c>
      <c r="P134" s="6">
        <v>-2.5203225790322579</v>
      </c>
      <c r="Q134" s="6">
        <v>5.6659763713161303E-2</v>
      </c>
    </row>
    <row r="135" spans="1:17">
      <c r="A135" s="2">
        <v>44228</v>
      </c>
      <c r="B135" s="3">
        <v>4.0715221785714286</v>
      </c>
      <c r="C135" s="3">
        <v>4.0715221785714286</v>
      </c>
      <c r="D135" s="3">
        <v>4.0715221785714286</v>
      </c>
      <c r="E135" s="4">
        <v>2.1110223639285716E-2</v>
      </c>
      <c r="F135" s="5">
        <v>18569.382799999999</v>
      </c>
      <c r="G135" s="5">
        <v>853.04447500000003</v>
      </c>
      <c r="H135" s="5">
        <v>152.96570575550223</v>
      </c>
      <c r="I135" s="6">
        <v>10.787474211978852</v>
      </c>
      <c r="J135" s="5">
        <v>1885.2496554545335</v>
      </c>
      <c r="K135" s="6">
        <v>86.605022244192511</v>
      </c>
      <c r="L135" s="5">
        <v>907.08057999745267</v>
      </c>
      <c r="M135" s="6">
        <v>18.596127942873316</v>
      </c>
      <c r="N135" s="6">
        <v>23.399684260000001</v>
      </c>
      <c r="O135" s="3">
        <v>9.3507430879999998</v>
      </c>
      <c r="P135" s="6">
        <v>-3.7178571285714272</v>
      </c>
      <c r="Q135" s="6">
        <v>0.12158795286822217</v>
      </c>
    </row>
    <row r="136" spans="1:17">
      <c r="A136" s="2">
        <v>44256</v>
      </c>
      <c r="B136" s="3">
        <v>6.7095975774193564</v>
      </c>
      <c r="C136" s="3">
        <v>6.7095975774193564</v>
      </c>
      <c r="D136" s="3">
        <v>6.7095975774193564</v>
      </c>
      <c r="E136" s="4">
        <v>1.4282036593548387E-2</v>
      </c>
      <c r="F136" s="5">
        <v>31753.880010000001</v>
      </c>
      <c r="G136" s="5">
        <v>1241.1576770000004</v>
      </c>
      <c r="H136" s="6">
        <v>98.029107253591448</v>
      </c>
      <c r="I136" s="3">
        <v>6.1609186839685579</v>
      </c>
      <c r="J136" s="5">
        <v>1766.9524686351936</v>
      </c>
      <c r="K136" s="6">
        <v>69.064524522322941</v>
      </c>
      <c r="L136" s="5">
        <v>808.13261204928165</v>
      </c>
      <c r="M136" s="6">
        <v>15.381674919059277</v>
      </c>
      <c r="N136" s="6">
        <v>13.766033490000002</v>
      </c>
      <c r="O136" s="6">
        <v>14.158027168</v>
      </c>
      <c r="P136" s="6">
        <v>2.4432258129032256</v>
      </c>
      <c r="Q136" s="6">
        <v>2.1038712941000002</v>
      </c>
    </row>
    <row r="137" spans="1:17">
      <c r="A137" s="2">
        <v>44287</v>
      </c>
      <c r="B137" s="3">
        <v>2.1498695933333338</v>
      </c>
      <c r="C137" s="3">
        <v>2.1498695933333338</v>
      </c>
      <c r="D137" s="3">
        <v>2.1498695933333338</v>
      </c>
      <c r="E137" s="4">
        <v>6.5757495899999999E-3</v>
      </c>
      <c r="F137" s="5">
        <v>9115.3464500000009</v>
      </c>
      <c r="G137" s="5">
        <v>273.37290449999995</v>
      </c>
      <c r="H137" s="6">
        <v>38.338752815878429</v>
      </c>
      <c r="I137" s="3">
        <v>2.3939287091670916</v>
      </c>
      <c r="J137" s="5">
        <v>1635.7843012110568</v>
      </c>
      <c r="K137" s="6">
        <v>49.057828981321663</v>
      </c>
      <c r="L137" s="5">
        <v>698.77816395604964</v>
      </c>
      <c r="M137" s="6">
        <v>11.549966160884688</v>
      </c>
      <c r="N137" s="6">
        <v>37.622700993600006</v>
      </c>
      <c r="O137" s="6">
        <v>25.479314379999998</v>
      </c>
      <c r="P137" s="6">
        <v>4.2950000000000008</v>
      </c>
      <c r="Q137" s="6">
        <v>5.8742976800000015</v>
      </c>
    </row>
    <row r="138" spans="1:17">
      <c r="A138" s="2">
        <v>44317</v>
      </c>
      <c r="B138" s="3">
        <v>3.0805131032258064</v>
      </c>
      <c r="C138" s="3">
        <v>3.0805131032258064</v>
      </c>
      <c r="D138" s="3">
        <v>3.0805131032258064</v>
      </c>
      <c r="E138" s="4">
        <v>1.8156496932258064E-2</v>
      </c>
      <c r="F138" s="5">
        <v>12860.617139999998</v>
      </c>
      <c r="G138" s="5">
        <v>492.1549763000001</v>
      </c>
      <c r="H138" s="5">
        <v>132.02954286379489</v>
      </c>
      <c r="I138" s="6">
        <v>10.308522657614141</v>
      </c>
      <c r="J138" s="5">
        <v>1558.7027233554606</v>
      </c>
      <c r="K138" s="6">
        <v>59.649027498549621</v>
      </c>
      <c r="L138" s="5">
        <v>665.43459824261913</v>
      </c>
      <c r="M138" s="6">
        <v>12.179506264497833</v>
      </c>
      <c r="N138" s="5">
        <v>104.53956603699999</v>
      </c>
      <c r="O138" s="6">
        <v>68.484750779999985</v>
      </c>
      <c r="P138" s="6">
        <v>9.5641935870967743</v>
      </c>
      <c r="Q138" s="6">
        <v>10.907164364516131</v>
      </c>
    </row>
    <row r="139" spans="1:17">
      <c r="A139" s="2">
        <v>44348</v>
      </c>
      <c r="B139" s="3">
        <v>3.2572736633333332</v>
      </c>
      <c r="C139" s="3">
        <v>3.2572736633333332</v>
      </c>
      <c r="D139" s="3">
        <v>3.2572736633333332</v>
      </c>
      <c r="E139" s="4">
        <v>3.6116502310000009E-3</v>
      </c>
      <c r="F139" s="5">
        <v>12103.215869999996</v>
      </c>
      <c r="G139" s="5">
        <v>544.11965339999983</v>
      </c>
      <c r="H139" s="6">
        <v>19.078941371653357</v>
      </c>
      <c r="I139" s="3">
        <v>1.1931614286781533</v>
      </c>
      <c r="J139" s="5">
        <v>1433.5456420365804</v>
      </c>
      <c r="K139" s="6">
        <v>64.447363360536784</v>
      </c>
      <c r="L139" s="5">
        <v>513.61664256231268</v>
      </c>
      <c r="M139" s="3">
        <v>8.611368499138127</v>
      </c>
      <c r="N139" s="6">
        <v>50.259385430000009</v>
      </c>
      <c r="O139" s="6">
        <v>85.339198599999989</v>
      </c>
      <c r="P139" s="6">
        <v>17.51500003333333</v>
      </c>
      <c r="Q139" s="6">
        <v>19.465065266666667</v>
      </c>
    </row>
    <row r="140" spans="1:17">
      <c r="A140" s="2">
        <v>44378</v>
      </c>
      <c r="B140" s="4">
        <v>0.57320578161290314</v>
      </c>
      <c r="C140" s="4">
        <v>0.57320578161290314</v>
      </c>
      <c r="D140" s="4">
        <v>0.57320578161290314</v>
      </c>
      <c r="E140" s="4">
        <v>6.9632344870967737E-4</v>
      </c>
      <c r="F140" s="5">
        <v>1859.0311280000001</v>
      </c>
      <c r="G140" s="6">
        <v>63.376730160000001</v>
      </c>
      <c r="H140" s="4">
        <v>0.85747025710160651</v>
      </c>
      <c r="I140" s="4">
        <v>7.3822322312647126E-2</v>
      </c>
      <c r="J140" s="5">
        <v>1210.8786994412831</v>
      </c>
      <c r="K140" s="6">
        <v>41.280390809232777</v>
      </c>
      <c r="L140" s="5">
        <v>187.0384640710331</v>
      </c>
      <c r="M140" s="4">
        <v>0.3404783089505099</v>
      </c>
      <c r="N140" s="6">
        <v>29.516317579999999</v>
      </c>
      <c r="O140" s="6">
        <v>65.372706400000013</v>
      </c>
      <c r="P140" s="6">
        <v>19.476774096774196</v>
      </c>
      <c r="Q140" s="6">
        <v>20.984668096774193</v>
      </c>
    </row>
    <row r="141" spans="1:17">
      <c r="A141" s="2">
        <v>44409</v>
      </c>
      <c r="B141" s="4">
        <v>0.4381897622580645</v>
      </c>
      <c r="C141" s="4">
        <v>0.4381897622580645</v>
      </c>
      <c r="D141" s="4">
        <v>0.4381897622580645</v>
      </c>
      <c r="E141" s="4">
        <v>2.8948247519354838E-3</v>
      </c>
      <c r="F141" s="5">
        <v>1275.5159090000002</v>
      </c>
      <c r="G141" s="6">
        <v>36.751475159999998</v>
      </c>
      <c r="H141" s="3">
        <v>7.1062887474901082</v>
      </c>
      <c r="I141" s="4">
        <v>0.56753487275369907</v>
      </c>
      <c r="J141" s="5">
        <v>1086.7964076870642</v>
      </c>
      <c r="K141" s="6">
        <v>31.313895447043354</v>
      </c>
      <c r="L141" s="5">
        <v>179.25887735621126</v>
      </c>
      <c r="M141" s="3">
        <v>3.9361604713485789</v>
      </c>
      <c r="N141" s="5">
        <v>110.87777155000001</v>
      </c>
      <c r="O141" s="6">
        <v>71.891815300000019</v>
      </c>
      <c r="P141" s="6">
        <v>14.42709670967742</v>
      </c>
      <c r="Q141" s="6">
        <v>15.440912870967741</v>
      </c>
    </row>
    <row r="142" spans="1:17">
      <c r="A142" s="2">
        <v>44440</v>
      </c>
      <c r="B142" s="4">
        <v>0.62018875166666687</v>
      </c>
      <c r="C142" s="4">
        <v>0.62018875166666687</v>
      </c>
      <c r="D142" s="4">
        <v>0.62018875166666687</v>
      </c>
      <c r="E142" s="4">
        <v>1.0968461813333336E-3</v>
      </c>
      <c r="F142" s="5">
        <v>1703.3960810000003</v>
      </c>
      <c r="G142" s="6">
        <v>35.580678589999998</v>
      </c>
      <c r="H142" s="3">
        <v>1.5786577022571227</v>
      </c>
      <c r="I142" s="4">
        <v>0.12456874823947146</v>
      </c>
      <c r="J142" s="5">
        <v>1059.6361154702804</v>
      </c>
      <c r="K142" s="6">
        <v>22.133766505674942</v>
      </c>
      <c r="L142" s="5">
        <v>271.08432817192852</v>
      </c>
      <c r="M142" s="3">
        <v>5.3372567045511214</v>
      </c>
      <c r="N142" s="6">
        <v>31.4425895559</v>
      </c>
      <c r="O142" s="6">
        <v>38.876600899999993</v>
      </c>
      <c r="P142" s="6">
        <v>11.009000076666666</v>
      </c>
      <c r="Q142" s="6">
        <v>11.538199703333335</v>
      </c>
    </row>
    <row r="143" spans="1:17">
      <c r="A143" s="2">
        <v>44470</v>
      </c>
      <c r="B143" s="4">
        <v>0.50247281741935479</v>
      </c>
      <c r="C143" s="4">
        <v>0.50247281741935479</v>
      </c>
      <c r="D143" s="4">
        <v>0.50247281741935479</v>
      </c>
      <c r="E143" s="4">
        <v>1.4564429425806451E-3</v>
      </c>
      <c r="F143" s="5">
        <v>1402.4819050000001</v>
      </c>
      <c r="G143" s="6">
        <v>25.71852362000001</v>
      </c>
      <c r="H143" s="3">
        <v>2.6931604726337195</v>
      </c>
      <c r="I143" s="4">
        <v>0.13329981537015181</v>
      </c>
      <c r="J143" s="5">
        <v>1042.0996202986969</v>
      </c>
      <c r="K143" s="6">
        <v>19.109881824127559</v>
      </c>
      <c r="L143" s="5">
        <v>359.55688762158917</v>
      </c>
      <c r="M143" s="3">
        <v>8.3949359917270137</v>
      </c>
      <c r="N143" s="6">
        <v>49.561370451900004</v>
      </c>
      <c r="O143" s="6">
        <v>34.144849465</v>
      </c>
      <c r="P143" s="6">
        <v>8.1841935554838692</v>
      </c>
      <c r="Q143" s="6">
        <v>7.8442548258064511</v>
      </c>
    </row>
    <row r="144" spans="1:17">
      <c r="A144" s="2">
        <v>44501</v>
      </c>
      <c r="B144" s="4">
        <v>0.78632815066666673</v>
      </c>
      <c r="C144" s="4">
        <v>0.78632815066666673</v>
      </c>
      <c r="D144" s="4">
        <v>0.78632815066666673</v>
      </c>
      <c r="E144" s="4">
        <v>1.6752700043333331E-3</v>
      </c>
      <c r="F144" s="5">
        <v>2202.6454669999998</v>
      </c>
      <c r="G144" s="6">
        <v>37.047174369999993</v>
      </c>
      <c r="H144" s="3">
        <v>3.7880993537424419</v>
      </c>
      <c r="I144" s="4">
        <v>0.13684702102032931</v>
      </c>
      <c r="J144" s="5">
        <v>1080.7015066526271</v>
      </c>
      <c r="K144" s="6">
        <v>18.176750747791687</v>
      </c>
      <c r="L144" s="5">
        <v>419.39972420455376</v>
      </c>
      <c r="M144" s="3">
        <v>9.2845327668743618</v>
      </c>
      <c r="N144" s="6">
        <v>24.690025010999999</v>
      </c>
      <c r="O144" s="6">
        <v>13.106609611</v>
      </c>
      <c r="P144" s="6">
        <v>1.9579999659999989</v>
      </c>
      <c r="Q144" s="6">
        <v>2.6893565023333332</v>
      </c>
    </row>
    <row r="145" spans="1:17">
      <c r="A145" s="2">
        <v>44531</v>
      </c>
      <c r="B145" s="4">
        <v>0.76923750225806464</v>
      </c>
      <c r="C145" s="4">
        <v>0.76923750225806464</v>
      </c>
      <c r="D145" s="4">
        <v>0.76923750225806464</v>
      </c>
      <c r="E145" s="4">
        <v>1.5074316248387101E-3</v>
      </c>
      <c r="F145" s="5">
        <v>2268.3980550000001</v>
      </c>
      <c r="G145" s="6">
        <v>34.625390840000001</v>
      </c>
      <c r="H145" s="3">
        <v>4.2128731726446285</v>
      </c>
      <c r="I145" s="4">
        <v>0.13435711091078417</v>
      </c>
      <c r="J145" s="5">
        <v>1100.9899604352181</v>
      </c>
      <c r="K145" s="6">
        <v>16.805783617125755</v>
      </c>
      <c r="L145" s="5">
        <v>451.34484762880561</v>
      </c>
      <c r="M145" s="3">
        <v>8.9509727997848412</v>
      </c>
      <c r="N145" s="6">
        <v>28.659228174000003</v>
      </c>
      <c r="O145" s="3">
        <v>8.5680508569999994</v>
      </c>
      <c r="P145" s="6">
        <v>-3.6019354906451628</v>
      </c>
      <c r="Q145" s="6">
        <v>2.0509428845483877E-3</v>
      </c>
    </row>
    <row r="146" spans="1:17">
      <c r="A146" s="2">
        <v>44562</v>
      </c>
      <c r="B146" s="3">
        <v>2.5983997851612903</v>
      </c>
      <c r="C146" s="3">
        <v>2.5983997851612903</v>
      </c>
      <c r="D146" s="3">
        <v>2.5983997851612903</v>
      </c>
      <c r="E146" s="4">
        <v>1.6996469474193546E-2</v>
      </c>
      <c r="F146" s="5">
        <v>10591.043451</v>
      </c>
      <c r="G146" s="5">
        <v>407.05241469999999</v>
      </c>
      <c r="H146" s="5">
        <v>143.95705723019358</v>
      </c>
      <c r="I146" s="6">
        <v>10.571449926551562</v>
      </c>
      <c r="J146" s="5">
        <v>1521.7991011183999</v>
      </c>
      <c r="K146" s="6">
        <v>58.488287669547631</v>
      </c>
      <c r="L146" s="5">
        <v>765.31378824577689</v>
      </c>
      <c r="M146" s="6">
        <v>16.092676932515992</v>
      </c>
      <c r="N146" s="6">
        <v>58.776344519600009</v>
      </c>
      <c r="O146" s="6">
        <v>16.148457665700001</v>
      </c>
      <c r="P146" s="6">
        <v>-0.83225807225806436</v>
      </c>
      <c r="Q146" s="6">
        <v>9.1915474354838673E-3</v>
      </c>
    </row>
    <row r="147" spans="1:17">
      <c r="A147" s="2">
        <v>44593</v>
      </c>
      <c r="B147" s="3">
        <v>6.2279894321428557</v>
      </c>
      <c r="C147" s="3">
        <v>6.2279894321428557</v>
      </c>
      <c r="D147" s="3">
        <v>6.2279894321428557</v>
      </c>
      <c r="E147" s="4">
        <v>2.8253067285714296E-2</v>
      </c>
      <c r="F147" s="5">
        <v>26790.350880000002</v>
      </c>
      <c r="G147" s="5">
        <v>1245.4649019999999</v>
      </c>
      <c r="H147" s="5">
        <v>217.39479492314098</v>
      </c>
      <c r="I147" s="6">
        <v>15.488532121960198</v>
      </c>
      <c r="J147" s="5">
        <v>1778.1104670518143</v>
      </c>
      <c r="K147" s="6">
        <v>82.66312834732895</v>
      </c>
      <c r="L147" s="5">
        <v>873.12887850452512</v>
      </c>
      <c r="M147" s="6">
        <v>18.359376861790999</v>
      </c>
      <c r="N147" s="6">
        <v>51.124288479000001</v>
      </c>
      <c r="O147" s="6">
        <v>14.463620543800001</v>
      </c>
      <c r="P147" s="6">
        <v>-0.56142857607142871</v>
      </c>
      <c r="Q147" s="6">
        <v>6.9604563692857143E-3</v>
      </c>
    </row>
    <row r="148" spans="1:17">
      <c r="A148" s="2">
        <v>44621</v>
      </c>
      <c r="B148" s="3">
        <v>4.4696950161290321</v>
      </c>
      <c r="C148" s="3">
        <v>4.4696950161290321</v>
      </c>
      <c r="D148" s="3">
        <v>4.4696950161290321</v>
      </c>
      <c r="E148" s="4">
        <v>9.5834821483870968E-3</v>
      </c>
      <c r="F148" s="5">
        <v>21205.768770000002</v>
      </c>
      <c r="G148" s="5">
        <v>914.84992000000034</v>
      </c>
      <c r="H148" s="6">
        <v>65.857412309032199</v>
      </c>
      <c r="I148" s="3">
        <v>4.0984234161865043</v>
      </c>
      <c r="J148" s="5">
        <v>1771.3348896220514</v>
      </c>
      <c r="K148" s="6">
        <v>76.418147575235906</v>
      </c>
      <c r="L148" s="5">
        <v>800.49003872936339</v>
      </c>
      <c r="M148" s="6">
        <v>15.877894939469705</v>
      </c>
      <c r="N148" s="3">
        <v>1.5078216369999999</v>
      </c>
      <c r="O148" s="3">
        <v>8.3874390660000024</v>
      </c>
      <c r="P148" s="6">
        <v>2.0645161177096774</v>
      </c>
      <c r="Q148" s="6">
        <v>1.0737640227677421</v>
      </c>
    </row>
    <row r="149" spans="1:17">
      <c r="A149" s="2">
        <v>44652</v>
      </c>
      <c r="B149" s="3">
        <v>2.8728585800000004</v>
      </c>
      <c r="C149" s="3">
        <v>2.8728585800000004</v>
      </c>
      <c r="D149" s="3">
        <v>2.8728585800000004</v>
      </c>
      <c r="E149" s="4">
        <v>1.0807323293333332E-2</v>
      </c>
      <c r="F149" s="5">
        <v>12690.378129999999</v>
      </c>
      <c r="G149" s="5">
        <v>498.0158295</v>
      </c>
      <c r="H149" s="6">
        <v>78.293373119481032</v>
      </c>
      <c r="I149" s="3">
        <v>5.5474962006183786</v>
      </c>
      <c r="J149" s="5">
        <v>1704.218560592052</v>
      </c>
      <c r="K149" s="6">
        <v>66.87963258826727</v>
      </c>
      <c r="L149" s="5">
        <v>764.39998654848637</v>
      </c>
      <c r="M149" s="6">
        <v>14.250516831778381</v>
      </c>
      <c r="N149" s="6">
        <v>37.719580819999997</v>
      </c>
      <c r="O149" s="6">
        <v>26.049482487000002</v>
      </c>
      <c r="P149" s="6">
        <v>4.1426666336000002</v>
      </c>
      <c r="Q149" s="6">
        <v>4.9706880132666669</v>
      </c>
    </row>
    <row r="150" spans="1:17">
      <c r="A150" s="2">
        <v>44682</v>
      </c>
      <c r="B150" s="3">
        <v>1.2003737670967738</v>
      </c>
      <c r="C150" s="3">
        <v>1.2003737670967738</v>
      </c>
      <c r="D150" s="3">
        <v>1.2003737670967738</v>
      </c>
      <c r="E150" s="4">
        <v>1.2746347138709677E-3</v>
      </c>
      <c r="F150" s="5">
        <v>5066.604534000001</v>
      </c>
      <c r="G150" s="5">
        <v>164.96721289999999</v>
      </c>
      <c r="H150" s="3">
        <v>3.2893583761827312</v>
      </c>
      <c r="I150" s="4">
        <v>0.14460263151708624</v>
      </c>
      <c r="J150" s="5">
        <v>1575.8869394334201</v>
      </c>
      <c r="K150" s="6">
        <v>51.3104334649056</v>
      </c>
      <c r="L150" s="5">
        <v>635.2216852247841</v>
      </c>
      <c r="M150" s="6">
        <v>10.499662747483208</v>
      </c>
      <c r="N150" s="6">
        <v>43.125978679999996</v>
      </c>
      <c r="O150" s="6">
        <v>53.705363269999999</v>
      </c>
      <c r="P150" s="6">
        <v>10.552903212903225</v>
      </c>
      <c r="Q150" s="6">
        <v>12.126253890322582</v>
      </c>
    </row>
    <row r="151" spans="1:17">
      <c r="A151" s="2">
        <v>44713</v>
      </c>
      <c r="B151" s="4">
        <v>0.53737741266666672</v>
      </c>
      <c r="C151" s="4">
        <v>0.53737741266666672</v>
      </c>
      <c r="D151" s="4">
        <v>0.53737741266666672</v>
      </c>
      <c r="E151" s="4">
        <v>1.3461765323333332E-3</v>
      </c>
      <c r="F151" s="5">
        <v>1901.5069099999998</v>
      </c>
      <c r="G151" s="6">
        <v>48.410927309999991</v>
      </c>
      <c r="H151" s="3">
        <v>2.0461034196445191</v>
      </c>
      <c r="I151" s="4">
        <v>0.13079055869360787</v>
      </c>
      <c r="J151" s="5">
        <v>1365.1597778493601</v>
      </c>
      <c r="K151" s="6">
        <v>34.755934603492385</v>
      </c>
      <c r="L151" s="5">
        <v>433.2451997713294</v>
      </c>
      <c r="M151" s="3">
        <v>4.639113472521843</v>
      </c>
      <c r="N151" s="6">
        <v>54.057484608999999</v>
      </c>
      <c r="O151" s="6">
        <v>79.060017199999976</v>
      </c>
      <c r="P151" s="6">
        <v>16.950666733333335</v>
      </c>
      <c r="Q151" s="6">
        <v>17.839058966666666</v>
      </c>
    </row>
    <row r="152" spans="1:17">
      <c r="A152" s="2">
        <v>44743</v>
      </c>
      <c r="B152" s="4">
        <v>0.28403103967741944</v>
      </c>
      <c r="C152" s="4">
        <v>0.28403103967741944</v>
      </c>
      <c r="D152" s="4">
        <v>0.28403103967741944</v>
      </c>
      <c r="E152" s="4">
        <v>6.8839687096774202E-4</v>
      </c>
      <c r="F152" s="5">
        <v>857.08887200000015</v>
      </c>
      <c r="G152" s="6">
        <v>17.577492749999994</v>
      </c>
      <c r="H152" s="4">
        <v>0.66274561139312738</v>
      </c>
      <c r="I152" s="4">
        <v>5.5201028514548965E-2</v>
      </c>
      <c r="J152" s="5">
        <v>1126.6385215365526</v>
      </c>
      <c r="K152" s="6">
        <v>23.105515833119597</v>
      </c>
      <c r="L152" s="5">
        <v>153.41092203167437</v>
      </c>
      <c r="M152" s="4">
        <v>0.59097426910013173</v>
      </c>
      <c r="N152" s="6">
        <v>43.087816762999999</v>
      </c>
      <c r="O152" s="6">
        <v>64.343395200000003</v>
      </c>
      <c r="P152" s="6">
        <v>16.871612935483871</v>
      </c>
      <c r="Q152" s="6">
        <v>18.068594580645158</v>
      </c>
    </row>
    <row r="153" spans="1:17">
      <c r="A153" s="2">
        <v>44774</v>
      </c>
      <c r="B153" s="4">
        <v>0.30407838645161284</v>
      </c>
      <c r="C153" s="4">
        <v>0.30407838645161284</v>
      </c>
      <c r="D153" s="4">
        <v>0.30407838645161284</v>
      </c>
      <c r="E153" s="4">
        <v>3.200332388064516E-3</v>
      </c>
      <c r="F153" s="5">
        <v>822.78097600000012</v>
      </c>
      <c r="G153" s="6">
        <v>24.885868219999999</v>
      </c>
      <c r="H153" s="3">
        <v>9.6980617838514664</v>
      </c>
      <c r="I153" s="4">
        <v>0.89593778834227944</v>
      </c>
      <c r="J153" s="5">
        <v>1010.2369185930759</v>
      </c>
      <c r="K153" s="6">
        <v>30.555668411997399</v>
      </c>
      <c r="L153" s="5">
        <v>169.76074611977594</v>
      </c>
      <c r="M153" s="3">
        <v>4.1907013344852979</v>
      </c>
      <c r="N153" s="5">
        <v>113.50925074999999</v>
      </c>
      <c r="O153" s="6">
        <v>77.879334299999982</v>
      </c>
      <c r="P153" s="6">
        <v>17.62064509677419</v>
      </c>
      <c r="Q153" s="6">
        <v>17.970153129032255</v>
      </c>
    </row>
    <row r="154" spans="1:17">
      <c r="A154" s="2">
        <v>44805</v>
      </c>
      <c r="B154" s="4">
        <v>0.9665760526666668</v>
      </c>
      <c r="C154" s="4">
        <v>0.9665760526666668</v>
      </c>
      <c r="D154" s="4">
        <v>0.9665760526666668</v>
      </c>
      <c r="E154" s="4">
        <v>2.9702818786666676E-3</v>
      </c>
      <c r="F154" s="5">
        <v>2657.9012549999998</v>
      </c>
      <c r="G154" s="6">
        <v>65.29842020000001</v>
      </c>
      <c r="H154" s="3">
        <v>8.3963380021248302</v>
      </c>
      <c r="I154" s="4">
        <v>0.51333026238544244</v>
      </c>
      <c r="J154" s="5">
        <v>1060.8837495086236</v>
      </c>
      <c r="K154" s="6">
        <v>26.063433285184122</v>
      </c>
      <c r="L154" s="5">
        <v>254.8829528480552</v>
      </c>
      <c r="M154" s="3">
        <v>4.6276921642749729</v>
      </c>
      <c r="N154" s="6">
        <v>61.184579351000011</v>
      </c>
      <c r="O154" s="6">
        <v>45.518638189999997</v>
      </c>
      <c r="P154" s="6">
        <v>10.273666693333334</v>
      </c>
      <c r="Q154" s="6">
        <v>11.040728413333333</v>
      </c>
    </row>
    <row r="155" spans="1:17">
      <c r="A155" s="2">
        <v>44835</v>
      </c>
      <c r="B155" s="3">
        <v>1.0367262612903227</v>
      </c>
      <c r="C155" s="3">
        <v>1.0367262612903227</v>
      </c>
      <c r="D155" s="3">
        <v>1.0367262612903227</v>
      </c>
      <c r="E155" s="4">
        <v>1.8372864012903226E-3</v>
      </c>
      <c r="F155" s="5">
        <v>2984.2568400000005</v>
      </c>
      <c r="G155" s="6">
        <v>56.397022800000009</v>
      </c>
      <c r="H155" s="3">
        <v>3.942888951028376</v>
      </c>
      <c r="I155" s="4">
        <v>0.18411980695365712</v>
      </c>
      <c r="J155" s="5">
        <v>1074.7232378440474</v>
      </c>
      <c r="K155" s="6">
        <v>20.310313079569895</v>
      </c>
      <c r="L155" s="5">
        <v>315.13027792006329</v>
      </c>
      <c r="M155" s="3">
        <v>6.8652218870529769</v>
      </c>
      <c r="N155" s="6">
        <v>42.732497592000009</v>
      </c>
      <c r="O155" s="6">
        <v>34.470737269999994</v>
      </c>
      <c r="P155" s="6">
        <v>8.5245160967741942</v>
      </c>
      <c r="Q155" s="6">
        <v>8.2489029451612907</v>
      </c>
    </row>
    <row r="156" spans="1:17">
      <c r="A156" s="2">
        <v>44866</v>
      </c>
      <c r="B156" s="4">
        <v>0.85250450799999988</v>
      </c>
      <c r="C156" s="4">
        <v>0.85250450799999988</v>
      </c>
      <c r="D156" s="4">
        <v>0.85250450799999988</v>
      </c>
      <c r="E156" s="4">
        <v>1.8375499333333331E-3</v>
      </c>
      <c r="F156" s="5">
        <v>2430.8803520000006</v>
      </c>
      <c r="G156" s="6">
        <v>42.430429600000004</v>
      </c>
      <c r="H156" s="3">
        <v>4.3982811906370181</v>
      </c>
      <c r="I156" s="4">
        <v>0.1982498210805585</v>
      </c>
      <c r="J156" s="5">
        <v>1100.0992906510712</v>
      </c>
      <c r="K156" s="6">
        <v>19.201967467255066</v>
      </c>
      <c r="L156" s="5">
        <v>364.8262623764457</v>
      </c>
      <c r="M156" s="3">
        <v>8.2214369328487624</v>
      </c>
      <c r="N156" s="6">
        <v>43.175864995000012</v>
      </c>
      <c r="O156" s="6">
        <v>20.914254397000008</v>
      </c>
      <c r="P156" s="6">
        <v>4.1113333475666662</v>
      </c>
      <c r="Q156" s="6">
        <v>3.9643869325493002</v>
      </c>
    </row>
    <row r="157" spans="1:17">
      <c r="A157" s="2">
        <v>44896</v>
      </c>
      <c r="B157" s="3">
        <v>1.5039132022580641</v>
      </c>
      <c r="C157" s="3">
        <v>1.5039132022580641</v>
      </c>
      <c r="D157" s="3">
        <v>1.5039132022580641</v>
      </c>
      <c r="E157" s="4">
        <v>1.2084306441935481E-2</v>
      </c>
      <c r="F157" s="5">
        <v>5858.9031890000006</v>
      </c>
      <c r="G157" s="5">
        <v>279.3609591</v>
      </c>
      <c r="H157" s="5">
        <v>103.23280559664146</v>
      </c>
      <c r="I157" s="3">
        <v>7.7475873963969075</v>
      </c>
      <c r="J157" s="5">
        <v>1454.5146442042421</v>
      </c>
      <c r="K157" s="6">
        <v>69.353355198262349</v>
      </c>
      <c r="L157" s="5">
        <v>682.84413309074455</v>
      </c>
      <c r="M157" s="6">
        <v>15.359417210003192</v>
      </c>
      <c r="N157" s="6">
        <v>42.814068409399994</v>
      </c>
      <c r="O157" s="6">
        <v>11.938473771050001</v>
      </c>
      <c r="P157" s="6">
        <v>-3.7677419903225813</v>
      </c>
      <c r="Q157" s="6">
        <v>2.3582802928387096E-2</v>
      </c>
    </row>
    <row r="158" spans="1:17">
      <c r="A158" s="2">
        <v>44927</v>
      </c>
      <c r="B158" s="3">
        <v>8.6511609322580654</v>
      </c>
      <c r="C158" s="3">
        <v>8.6511609322580654</v>
      </c>
      <c r="D158" s="3">
        <v>8.6511609322580654</v>
      </c>
      <c r="E158" s="4">
        <v>3.6746552935483873E-2</v>
      </c>
      <c r="F158" s="5">
        <v>42697.03115000001</v>
      </c>
      <c r="G158" s="5">
        <v>2042.5337359999999</v>
      </c>
      <c r="H158" s="5">
        <v>308.89439685246089</v>
      </c>
      <c r="I158" s="6">
        <v>21.528244388101736</v>
      </c>
      <c r="J158" s="5">
        <v>1842.6711113127587</v>
      </c>
      <c r="K158" s="6">
        <v>88.149405675329987</v>
      </c>
      <c r="L158" s="5">
        <v>843.29961121793053</v>
      </c>
      <c r="M158" s="6">
        <v>17.888450063282761</v>
      </c>
      <c r="N158" s="6">
        <v>68.865127163600008</v>
      </c>
      <c r="O158" s="6">
        <v>19.628327875</v>
      </c>
      <c r="P158" s="6">
        <v>-0.28806449064516115</v>
      </c>
      <c r="Q158" s="6">
        <v>8.268888485409677E-2</v>
      </c>
    </row>
    <row r="159" spans="1:17">
      <c r="A159" s="2">
        <v>44958</v>
      </c>
      <c r="B159" s="3">
        <v>3.8348620928571431</v>
      </c>
      <c r="C159" s="3">
        <v>3.8348620928571431</v>
      </c>
      <c r="D159" s="3">
        <v>3.8348620928571431</v>
      </c>
      <c r="E159" s="4">
        <v>1.0677250242857142E-2</v>
      </c>
      <c r="F159" s="5">
        <v>17200.685870000001</v>
      </c>
      <c r="G159" s="5">
        <v>615.89437899999984</v>
      </c>
      <c r="H159" s="6">
        <v>72.012516185172998</v>
      </c>
      <c r="I159" s="3">
        <v>4.6062895236398802</v>
      </c>
      <c r="J159" s="5">
        <v>1854.0618565302725</v>
      </c>
      <c r="K159" s="6">
        <v>66.387253909080812</v>
      </c>
      <c r="L159" s="5">
        <v>778.98676196398412</v>
      </c>
      <c r="M159" s="6">
        <v>14.66353705131564</v>
      </c>
      <c r="N159" s="6">
        <v>30.932679807000003</v>
      </c>
      <c r="O159" s="3">
        <v>9.4917673970000003</v>
      </c>
      <c r="P159" s="6">
        <v>-0.86071427785714294</v>
      </c>
      <c r="Q159" s="6">
        <v>5.7956215075000003E-3</v>
      </c>
    </row>
    <row r="160" spans="1:17">
      <c r="A160" s="2">
        <v>44986</v>
      </c>
      <c r="B160" s="3">
        <v>5.25110093548387</v>
      </c>
      <c r="C160" s="3">
        <v>5.25110093548387</v>
      </c>
      <c r="D160" s="3">
        <v>5.25110093548387</v>
      </c>
      <c r="E160" s="4">
        <v>2.8087219145161289E-2</v>
      </c>
      <c r="F160" s="5">
        <v>26199.320710000004</v>
      </c>
      <c r="G160" s="5">
        <v>1061.4677840000002</v>
      </c>
      <c r="H160" s="5">
        <v>226.81145915389402</v>
      </c>
      <c r="I160" s="6">
        <v>16.24232705707713</v>
      </c>
      <c r="J160" s="5">
        <v>1862.7913800256617</v>
      </c>
      <c r="K160" s="6">
        <v>75.471156924852323</v>
      </c>
      <c r="L160" s="5">
        <v>872.95822994143009</v>
      </c>
      <c r="M160" s="6">
        <v>16.813977195089631</v>
      </c>
      <c r="N160" s="6">
        <v>81.91942804</v>
      </c>
      <c r="O160" s="6">
        <v>24.133394181000003</v>
      </c>
      <c r="P160" s="6">
        <v>-1.1635483574193546</v>
      </c>
      <c r="Q160" s="6">
        <v>4.0615627631232255E-2</v>
      </c>
    </row>
    <row r="161" spans="1:17">
      <c r="A161" s="2">
        <v>45017</v>
      </c>
      <c r="B161" s="3">
        <v>6.4324579500000008</v>
      </c>
      <c r="C161" s="3">
        <v>6.4324579500000008</v>
      </c>
      <c r="D161" s="3">
        <v>6.4324579500000008</v>
      </c>
      <c r="E161" s="4">
        <v>1.7045349776666663E-2</v>
      </c>
      <c r="F161" s="5">
        <v>29025.962649999994</v>
      </c>
      <c r="G161" s="5">
        <v>1185.9665940000002</v>
      </c>
      <c r="H161" s="5">
        <v>119.95259805568061</v>
      </c>
      <c r="I161" s="3">
        <v>8.1821682095971546</v>
      </c>
      <c r="J161" s="5">
        <v>1740.9033638180222</v>
      </c>
      <c r="K161" s="6">
        <v>71.131257903431276</v>
      </c>
      <c r="L161" s="5">
        <v>809.37922069011995</v>
      </c>
      <c r="M161" s="6">
        <v>15.508414078757998</v>
      </c>
      <c r="N161" s="6">
        <v>18.759815601000003</v>
      </c>
      <c r="O161" s="6">
        <v>22.572149939999999</v>
      </c>
      <c r="P161" s="6">
        <v>4.275999956333334</v>
      </c>
      <c r="Q161" s="6">
        <v>4.5364786086000004</v>
      </c>
    </row>
    <row r="162" spans="1:17">
      <c r="A162" s="2">
        <v>45047</v>
      </c>
      <c r="B162" s="3">
        <v>2.3355978774193549</v>
      </c>
      <c r="C162" s="3">
        <v>2.3355978774193549</v>
      </c>
      <c r="D162" s="3">
        <v>2.3355978774193549</v>
      </c>
      <c r="E162" s="4">
        <v>4.6094791248387111E-3</v>
      </c>
      <c r="F162" s="5">
        <v>9784.7438500000026</v>
      </c>
      <c r="G162" s="5">
        <v>336.43108990000002</v>
      </c>
      <c r="H162" s="6">
        <v>25.431262742328322</v>
      </c>
      <c r="I162" s="3">
        <v>1.6205399116350636</v>
      </c>
      <c r="J162" s="5">
        <v>1564.1411374282134</v>
      </c>
      <c r="K162" s="6">
        <v>53.780222439408725</v>
      </c>
      <c r="L162" s="5">
        <v>637.21727889027375</v>
      </c>
      <c r="M162" s="6">
        <v>10.803155818391179</v>
      </c>
      <c r="N162" s="6">
        <v>29.617493829999997</v>
      </c>
      <c r="O162" s="6">
        <v>54.965568709999999</v>
      </c>
      <c r="P162" s="6">
        <v>11.284193525806451</v>
      </c>
      <c r="Q162" s="6">
        <v>12.756113290322579</v>
      </c>
    </row>
    <row r="163" spans="1:17">
      <c r="A163" s="2">
        <v>45078</v>
      </c>
      <c r="B163" s="4">
        <v>0.5704140516666667</v>
      </c>
      <c r="C163" s="4">
        <v>0.5704140516666667</v>
      </c>
      <c r="D163" s="4">
        <v>0.5704140516666667</v>
      </c>
      <c r="E163" s="4">
        <v>7.1427493933333322E-4</v>
      </c>
      <c r="F163" s="5">
        <v>2008.1226980000004</v>
      </c>
      <c r="G163" s="6">
        <v>52.038518109999984</v>
      </c>
      <c r="H163" s="3">
        <v>1.0425753247167879</v>
      </c>
      <c r="I163" s="4">
        <v>7.3429154631019927E-2</v>
      </c>
      <c r="J163" s="5">
        <v>1358.2040317923281</v>
      </c>
      <c r="K163" s="6">
        <v>35.196517380089198</v>
      </c>
      <c r="L163" s="5">
        <v>377.53921338804417</v>
      </c>
      <c r="M163" s="3">
        <v>2.989082759459937</v>
      </c>
      <c r="N163" s="6">
        <v>12.63196233</v>
      </c>
      <c r="O163" s="6">
        <v>48.980742400000018</v>
      </c>
      <c r="P163" s="6">
        <v>16.7316666</v>
      </c>
      <c r="Q163" s="6">
        <v>17.983584966666669</v>
      </c>
    </row>
    <row r="164" spans="1:17">
      <c r="A164" s="2">
        <v>45108</v>
      </c>
      <c r="B164" s="4">
        <v>0.40695917354838718</v>
      </c>
      <c r="C164" s="4">
        <v>0.40695917354838718</v>
      </c>
      <c r="D164" s="4">
        <v>0.40695917354838718</v>
      </c>
      <c r="E164" s="4">
        <v>2.2963565138709677E-3</v>
      </c>
      <c r="F164" s="5">
        <v>1239.7989910000003</v>
      </c>
      <c r="G164" s="6">
        <v>29.036242120000008</v>
      </c>
      <c r="H164" s="3">
        <v>5.9669405586323396</v>
      </c>
      <c r="I164" s="4">
        <v>0.53559322563890122</v>
      </c>
      <c r="J164" s="5">
        <v>1137.4308013773659</v>
      </c>
      <c r="K164" s="6">
        <v>26.638766335455145</v>
      </c>
      <c r="L164" s="5">
        <v>171.02715029601154</v>
      </c>
      <c r="M164" s="3">
        <v>1.8365876669155405</v>
      </c>
      <c r="N164" s="5">
        <v>111.57558323199997</v>
      </c>
      <c r="O164" s="6">
        <v>85.459632900000003</v>
      </c>
      <c r="P164" s="6">
        <v>16.086774129032257</v>
      </c>
      <c r="Q164" s="6">
        <v>17.576541677419353</v>
      </c>
    </row>
    <row r="165" spans="1:17">
      <c r="A165" s="2">
        <v>45139</v>
      </c>
      <c r="B165" s="3">
        <v>2.6366551664516127</v>
      </c>
      <c r="C165" s="3">
        <v>2.6366551664516127</v>
      </c>
      <c r="D165" s="3">
        <v>2.6366551664516127</v>
      </c>
      <c r="E165" s="4">
        <v>1.0173437006451614E-2</v>
      </c>
      <c r="F165" s="5">
        <v>8246.0198120000005</v>
      </c>
      <c r="G165" s="5">
        <v>296.11372203000002</v>
      </c>
      <c r="H165" s="6">
        <v>47.811095459330176</v>
      </c>
      <c r="I165" s="3">
        <v>3.4269632766857359</v>
      </c>
      <c r="J165" s="5">
        <v>1167.6577968718</v>
      </c>
      <c r="K165" s="6">
        <v>41.930471733770055</v>
      </c>
      <c r="L165" s="5">
        <v>322.48072777938353</v>
      </c>
      <c r="M165" s="3">
        <v>6.4522702273237229</v>
      </c>
      <c r="N165" s="5">
        <v>143.09178655000002</v>
      </c>
      <c r="O165" s="6">
        <v>95.947603599999965</v>
      </c>
      <c r="P165" s="6">
        <v>15.627741967741937</v>
      </c>
      <c r="Q165" s="6">
        <v>17.063494677419357</v>
      </c>
    </row>
    <row r="166" spans="1:17">
      <c r="A166" s="2">
        <v>45170</v>
      </c>
      <c r="B166" s="3">
        <v>1.3771926799999998</v>
      </c>
      <c r="C166" s="3">
        <v>1.3771926799999998</v>
      </c>
      <c r="D166" s="3">
        <v>1.3771926799999998</v>
      </c>
      <c r="E166" s="4">
        <v>1.6056445753333337E-3</v>
      </c>
      <c r="F166" s="5">
        <v>4293.5172440000006</v>
      </c>
      <c r="G166" s="5">
        <v>129.89337190000003</v>
      </c>
      <c r="H166" s="3">
        <v>3.0617927149089184</v>
      </c>
      <c r="I166" s="4">
        <v>0.19975368949983538</v>
      </c>
      <c r="J166" s="5">
        <v>1202.7724787787647</v>
      </c>
      <c r="K166" s="6">
        <v>36.38792258592202</v>
      </c>
      <c r="L166" s="5">
        <v>372.06796511712093</v>
      </c>
      <c r="M166" s="3">
        <v>7.907061817372945</v>
      </c>
      <c r="N166" s="6">
        <v>36.206322210800003</v>
      </c>
      <c r="O166" s="6">
        <v>52.731218320000004</v>
      </c>
      <c r="P166" s="6">
        <v>14.183000080000001</v>
      </c>
      <c r="Q166" s="6">
        <v>14.866336866666666</v>
      </c>
    </row>
    <row r="167" spans="1:17">
      <c r="A167" s="2">
        <v>45200</v>
      </c>
      <c r="B167" s="4">
        <v>0.53993789129032255</v>
      </c>
      <c r="C167" s="4">
        <v>0.53993789129032255</v>
      </c>
      <c r="D167" s="4">
        <v>0.53993789129032255</v>
      </c>
      <c r="E167" s="4">
        <v>2.0788188229032257E-3</v>
      </c>
      <c r="F167" s="5">
        <v>1663.7911599999998</v>
      </c>
      <c r="G167" s="6">
        <v>40.693627299999989</v>
      </c>
      <c r="H167" s="3">
        <v>4.6030503382619656</v>
      </c>
      <c r="I167" s="4">
        <v>0.32811173167465524</v>
      </c>
      <c r="J167" s="5">
        <v>1150.4812722442407</v>
      </c>
      <c r="K167" s="6">
        <v>28.13890164266364</v>
      </c>
      <c r="L167" s="5">
        <v>412.81757106387653</v>
      </c>
      <c r="M167" s="6">
        <v>10.12571615640727</v>
      </c>
      <c r="N167" s="6">
        <v>74.396351147000004</v>
      </c>
      <c r="O167" s="6">
        <v>31.967187708000004</v>
      </c>
      <c r="P167" s="6">
        <v>5.1461290267741928</v>
      </c>
      <c r="Q167" s="6">
        <v>5.6266577596774185</v>
      </c>
    </row>
    <row r="168" spans="1:17">
      <c r="A168" s="2">
        <v>45231</v>
      </c>
      <c r="B168" s="3">
        <v>6.483465513333333</v>
      </c>
      <c r="C168" s="3">
        <v>6.483465513333333</v>
      </c>
      <c r="D168" s="3">
        <v>6.483465513333333</v>
      </c>
      <c r="E168" s="4">
        <v>3.0596435079999994E-2</v>
      </c>
      <c r="F168" s="5">
        <v>26134.298120000003</v>
      </c>
      <c r="G168" s="5">
        <v>1428.7587581999999</v>
      </c>
      <c r="H168" s="5">
        <v>251.81724621624909</v>
      </c>
      <c r="I168" s="6">
        <v>19.124795512823056</v>
      </c>
      <c r="J168" s="5">
        <v>1555.1369041776754</v>
      </c>
      <c r="K168" s="6">
        <v>85.019137003152352</v>
      </c>
      <c r="L168" s="5">
        <v>703.24637359681014</v>
      </c>
      <c r="M168" s="6">
        <v>17.968774173735532</v>
      </c>
      <c r="N168" s="6">
        <v>93.422827878999996</v>
      </c>
      <c r="O168" s="6">
        <v>27.617147179999996</v>
      </c>
      <c r="P168" s="6">
        <v>0.22866667366666646</v>
      </c>
      <c r="Q168" s="6">
        <v>1.7458617811896666</v>
      </c>
    </row>
    <row r="169" spans="1:17">
      <c r="A169" s="2">
        <v>45261</v>
      </c>
      <c r="B169" s="3">
        <v>3.8676458741935487</v>
      </c>
      <c r="C169" s="3">
        <v>3.8676458741935487</v>
      </c>
      <c r="D169" s="3">
        <v>3.8676458741935487</v>
      </c>
      <c r="E169" s="4">
        <v>1.939486851935484E-2</v>
      </c>
      <c r="F169" s="5">
        <v>17482.6754</v>
      </c>
      <c r="G169" s="5">
        <v>808.71826399999986</v>
      </c>
      <c r="H169" s="5">
        <v>164.83789273291188</v>
      </c>
      <c r="I169" s="6">
        <v>12.046426962320242</v>
      </c>
      <c r="J169" s="5">
        <v>1687.6629962346703</v>
      </c>
      <c r="K169" s="6">
        <v>78.068365607250144</v>
      </c>
      <c r="L169" s="5">
        <v>766.76152552379847</v>
      </c>
      <c r="M169" s="6">
        <v>17.936685854786589</v>
      </c>
      <c r="N169" s="6">
        <v>69.984448815500002</v>
      </c>
      <c r="O169" s="6">
        <v>17.881707438320003</v>
      </c>
      <c r="P169" s="6">
        <v>-3.8480645219354845</v>
      </c>
      <c r="Q169" s="6">
        <v>2.2048006369096776E-2</v>
      </c>
    </row>
    <row r="170" spans="1:17">
      <c r="A170" s="2">
        <v>45292</v>
      </c>
      <c r="B170" s="3">
        <v>3.6019606580645145</v>
      </c>
      <c r="C170" s="3">
        <v>3.6019606580645145</v>
      </c>
      <c r="D170" s="3">
        <v>3.6019606580645145</v>
      </c>
      <c r="E170" s="4">
        <v>1.8331134283870974E-2</v>
      </c>
      <c r="F170" s="5">
        <v>17131.119490000001</v>
      </c>
      <c r="G170" s="5">
        <v>760.56531899999982</v>
      </c>
      <c r="H170" s="5">
        <v>150.19481597639822</v>
      </c>
      <c r="I170" s="6">
        <v>10.873410816503258</v>
      </c>
      <c r="J170" s="5">
        <v>1775.7070506018149</v>
      </c>
      <c r="K170" s="6">
        <v>78.835548786650378</v>
      </c>
      <c r="L170" s="5">
        <v>857.78453449920562</v>
      </c>
      <c r="M170" s="6">
        <v>18.723010651470606</v>
      </c>
      <c r="N170" s="6">
        <v>39.559079664000002</v>
      </c>
      <c r="O170" s="6">
        <v>11.014024258299999</v>
      </c>
      <c r="P170" s="6">
        <v>-4.748064563870968</v>
      </c>
      <c r="Q170" s="6">
        <v>3.5868777877419357E-2</v>
      </c>
    </row>
    <row r="171" spans="1:17">
      <c r="A171" s="2">
        <v>45323</v>
      </c>
      <c r="B171" s="3">
        <v>9.5761155999999996</v>
      </c>
      <c r="C171" s="3">
        <v>9.5761155999999996</v>
      </c>
      <c r="D171" s="3">
        <v>9.5761155999999996</v>
      </c>
      <c r="E171" s="4">
        <v>5.093852696551724E-2</v>
      </c>
      <c r="F171" s="5">
        <v>43466.363700000002</v>
      </c>
      <c r="G171" s="5">
        <v>2185.245766</v>
      </c>
      <c r="H171" s="5">
        <v>403.89995736711774</v>
      </c>
      <c r="I171" s="6">
        <v>30.583288995172143</v>
      </c>
      <c r="J171" s="5">
        <v>1811.5576966999722</v>
      </c>
      <c r="K171" s="6">
        <v>91.074992015749359</v>
      </c>
      <c r="L171" s="5">
        <v>954.91642138470331</v>
      </c>
      <c r="M171" s="6">
        <v>20.91955122974862</v>
      </c>
      <c r="N171" s="6">
        <v>65.32447321299999</v>
      </c>
      <c r="O171" s="6">
        <v>18.245530071600001</v>
      </c>
      <c r="P171" s="6">
        <v>-1.0893103576551728</v>
      </c>
      <c r="Q171" s="6">
        <v>0.11369839615068965</v>
      </c>
    </row>
    <row r="172" spans="1:17">
      <c r="A172" s="2">
        <v>45352</v>
      </c>
      <c r="B172" s="6">
        <v>10.602678038709675</v>
      </c>
      <c r="C172" s="6">
        <v>10.602678038709675</v>
      </c>
      <c r="D172" s="6">
        <v>10.602678038709675</v>
      </c>
      <c r="E172" s="4">
        <v>2.6526859290322582E-2</v>
      </c>
      <c r="F172" s="5">
        <v>43014.783499999998</v>
      </c>
      <c r="G172" s="5">
        <v>1855.2720800000002</v>
      </c>
      <c r="H172" s="5">
        <v>143.15874258568726</v>
      </c>
      <c r="I172" s="3">
        <v>9.1914705599153645</v>
      </c>
      <c r="J172" s="5">
        <v>1514.7002924705866</v>
      </c>
      <c r="K172" s="6">
        <v>65.330589585810557</v>
      </c>
      <c r="L172" s="5">
        <v>754.38471654991702</v>
      </c>
      <c r="M172" s="6">
        <v>15.161789257497823</v>
      </c>
      <c r="N172" s="6">
        <v>29.918314968000001</v>
      </c>
      <c r="O172" s="6">
        <v>14.6539362215</v>
      </c>
      <c r="P172" s="6">
        <v>1.5464516061290323</v>
      </c>
      <c r="Q172" s="6">
        <v>0.95192939661290321</v>
      </c>
    </row>
    <row r="173" spans="1:17">
      <c r="A173" s="2">
        <v>45383</v>
      </c>
      <c r="B173" s="3">
        <v>5.9556712433333328</v>
      </c>
      <c r="C173" s="3">
        <v>5.9556712433333328</v>
      </c>
      <c r="D173" s="3">
        <v>5.9556712433333328</v>
      </c>
      <c r="E173" s="4">
        <v>1.5247420206666664E-2</v>
      </c>
      <c r="F173" s="5">
        <v>19957.538410000001</v>
      </c>
      <c r="G173" s="5">
        <v>747.17326700000001</v>
      </c>
      <c r="H173" s="6">
        <v>97.613409035891706</v>
      </c>
      <c r="I173" s="3">
        <v>6.9105624827361618</v>
      </c>
      <c r="J173" s="5">
        <v>1292.8294455262537</v>
      </c>
      <c r="K173" s="6">
        <v>48.401139277812625</v>
      </c>
      <c r="L173" s="5">
        <v>597.17696388996058</v>
      </c>
      <c r="M173" s="6">
        <v>10.87038413947133</v>
      </c>
      <c r="N173" s="6">
        <v>49.319750448999997</v>
      </c>
      <c r="O173" s="6">
        <v>28.890531225199997</v>
      </c>
      <c r="P173" s="6">
        <v>4.0843333409999989</v>
      </c>
      <c r="Q173" s="6">
        <v>5.0805968333333338</v>
      </c>
    </row>
    <row r="174" spans="1:17">
      <c r="A174" s="2">
        <v>45413</v>
      </c>
      <c r="B174" s="3">
        <v>2.3657416606451616</v>
      </c>
      <c r="C174" s="3">
        <v>2.3657416606451616</v>
      </c>
      <c r="D174" s="3">
        <v>2.3657416606451616</v>
      </c>
      <c r="E174" s="4">
        <v>3.0524894700000001E-3</v>
      </c>
      <c r="F174" s="5">
        <v>7911.0943719999996</v>
      </c>
      <c r="G174" s="5">
        <v>282.49610730000006</v>
      </c>
      <c r="H174" s="6">
        <v>15.434182238360435</v>
      </c>
      <c r="I174" s="4">
        <v>0.94426867230468481</v>
      </c>
      <c r="J174" s="5">
        <v>1248.5150604525463</v>
      </c>
      <c r="K174" s="6">
        <v>44.583041335000722</v>
      </c>
      <c r="L174" s="5">
        <v>535.73806200130912</v>
      </c>
      <c r="M174" s="3">
        <v>9.17816162208943</v>
      </c>
      <c r="N174" s="6">
        <v>19.00203892</v>
      </c>
      <c r="O174" s="6">
        <v>60.232217750000004</v>
      </c>
      <c r="P174" s="6">
        <v>13.698387054838706</v>
      </c>
      <c r="Q174" s="6">
        <v>14.855917487096773</v>
      </c>
    </row>
    <row r="175" spans="1:17">
      <c r="A175" s="2">
        <v>45444</v>
      </c>
      <c r="B175" s="4">
        <v>0.57823651033333334</v>
      </c>
      <c r="C175" s="4">
        <v>0.57823651033333334</v>
      </c>
      <c r="D175" s="4">
        <v>0.57823651033333334</v>
      </c>
      <c r="E175" s="4">
        <v>1.7023112976666669E-3</v>
      </c>
      <c r="F175" s="5">
        <v>1555.2910140000001</v>
      </c>
      <c r="G175" s="6">
        <v>43.375138110000009</v>
      </c>
      <c r="H175" s="3">
        <v>3.5272800066772629</v>
      </c>
      <c r="I175" s="4">
        <v>0.28344654654011298</v>
      </c>
      <c r="J175" s="5">
        <v>1037.6983763228347</v>
      </c>
      <c r="K175" s="6">
        <v>28.940121091322286</v>
      </c>
      <c r="L175" s="5">
        <v>202.0145820511747</v>
      </c>
      <c r="M175" s="4">
        <v>0.88405324430436039</v>
      </c>
      <c r="N175" s="6">
        <v>80.308627998000006</v>
      </c>
      <c r="O175" s="6">
        <v>74.608756499999998</v>
      </c>
      <c r="P175" s="6">
        <v>15.895333366666668</v>
      </c>
      <c r="Q175" s="6">
        <v>17.610951700000001</v>
      </c>
    </row>
    <row r="176" spans="1:17">
      <c r="A176" s="2">
        <v>45474</v>
      </c>
      <c r="B176" s="4">
        <v>0.57263983580645161</v>
      </c>
      <c r="C176" s="4">
        <v>0.57263983580645161</v>
      </c>
      <c r="D176" s="4">
        <v>0.57263983580645161</v>
      </c>
      <c r="E176" s="4">
        <v>1.8289098961290317E-3</v>
      </c>
      <c r="F176" s="5">
        <v>1438.7331680000002</v>
      </c>
      <c r="G176" s="6">
        <v>34.787530019999998</v>
      </c>
      <c r="H176" s="3">
        <v>3.4146026375824152</v>
      </c>
      <c r="I176" s="4">
        <v>0.25799121331993446</v>
      </c>
      <c r="J176" s="5">
        <v>938.04405846119141</v>
      </c>
      <c r="K176" s="6">
        <v>22.681228548576708</v>
      </c>
      <c r="L176" s="5">
        <v>130.96451050225539</v>
      </c>
      <c r="M176" s="3">
        <v>1.5561806637827378</v>
      </c>
      <c r="N176" s="6">
        <v>81.161109020000012</v>
      </c>
      <c r="O176" s="6">
        <v>87.517592699999994</v>
      </c>
      <c r="P176" s="6">
        <v>17.282580870967745</v>
      </c>
      <c r="Q176" s="6">
        <v>18.770873000000002</v>
      </c>
    </row>
    <row r="177" spans="1:17">
      <c r="A177" s="2">
        <v>45505</v>
      </c>
      <c r="B177" s="4">
        <v>0.38624596225806446</v>
      </c>
      <c r="C177" s="4">
        <v>0.38624596225806446</v>
      </c>
      <c r="D177" s="4">
        <v>0.38624596225806446</v>
      </c>
      <c r="E177" s="4">
        <v>6.736560341935484E-4</v>
      </c>
      <c r="F177" s="5">
        <v>906.17499199999997</v>
      </c>
      <c r="G177" s="6">
        <v>15.448711330000002</v>
      </c>
      <c r="H177" s="4">
        <v>0.75138683317486477</v>
      </c>
      <c r="I177" s="4">
        <v>6.7442241719131324E-2</v>
      </c>
      <c r="J177" s="5">
        <v>875.93658309857449</v>
      </c>
      <c r="K177" s="6">
        <v>14.933198912720702</v>
      </c>
      <c r="L177" s="6">
        <v>90.367259158727663</v>
      </c>
      <c r="M177" s="4">
        <v>0.50487008279112433</v>
      </c>
      <c r="N177" s="6">
        <v>22.794631950000003</v>
      </c>
      <c r="O177" s="6">
        <v>54.030537899999992</v>
      </c>
      <c r="P177" s="6">
        <v>17.05129029032258</v>
      </c>
      <c r="Q177" s="6">
        <v>17.892183709677422</v>
      </c>
    </row>
    <row r="178" spans="1:17">
      <c r="A178" s="2">
        <v>45536</v>
      </c>
      <c r="B178" s="4">
        <v>0.27448494500000004</v>
      </c>
      <c r="C178" s="4">
        <v>0.27448494500000004</v>
      </c>
      <c r="D178" s="4">
        <v>0.27448494500000004</v>
      </c>
      <c r="E178" s="4">
        <v>1.6378240736666663E-3</v>
      </c>
      <c r="F178" s="5">
        <v>592.03584300000011</v>
      </c>
      <c r="G178" s="3">
        <v>9.2306886699999993</v>
      </c>
      <c r="H178" s="3">
        <v>2.2240540697053088</v>
      </c>
      <c r="I178" s="4">
        <v>0.1981983344729851</v>
      </c>
      <c r="J178" s="5">
        <v>832.13626046438549</v>
      </c>
      <c r="K178" s="6">
        <v>12.974198826405917</v>
      </c>
      <c r="L178" s="5">
        <v>137.21257336106783</v>
      </c>
      <c r="M178" s="3">
        <v>2.3579473302851564</v>
      </c>
      <c r="N178" s="6">
        <v>77.811582318999996</v>
      </c>
      <c r="O178" s="6">
        <v>49.587136929999993</v>
      </c>
      <c r="P178" s="6">
        <v>12.673666706666667</v>
      </c>
      <c r="Q178" s="6">
        <v>13.048784879999999</v>
      </c>
    </row>
    <row r="179" spans="1:17">
      <c r="A179" s="2">
        <v>45566</v>
      </c>
      <c r="B179" s="3">
        <v>1.127892168064516</v>
      </c>
      <c r="C179" s="3">
        <v>1.127892168064516</v>
      </c>
      <c r="D179" s="3">
        <v>1.127892168064516</v>
      </c>
      <c r="E179" s="4">
        <v>3.9863603906451607E-3</v>
      </c>
      <c r="F179" s="5">
        <v>2772.9657970000003</v>
      </c>
      <c r="G179" s="6">
        <v>55.160418469999996</v>
      </c>
      <c r="H179" s="6">
        <v>11.126958679295042</v>
      </c>
      <c r="I179" s="4">
        <v>0.61014222000914931</v>
      </c>
      <c r="J179" s="5">
        <v>917.91289061204805</v>
      </c>
      <c r="K179" s="6">
        <v>18.259316673594896</v>
      </c>
      <c r="L179" s="5">
        <v>290.25936549875593</v>
      </c>
      <c r="M179" s="3">
        <v>6.2881785228086393</v>
      </c>
      <c r="N179" s="6">
        <v>69.456759345999998</v>
      </c>
      <c r="O179" s="6">
        <v>38.542611729999997</v>
      </c>
      <c r="P179" s="6">
        <v>8.0858064193548405</v>
      </c>
      <c r="Q179" s="6">
        <v>7.642704406451613</v>
      </c>
    </row>
    <row r="180" spans="1:17">
      <c r="A180" s="2">
        <v>45597</v>
      </c>
      <c r="B180" s="3">
        <v>1.0275267029999999</v>
      </c>
      <c r="C180" s="3">
        <v>1.0275267029999999</v>
      </c>
      <c r="D180" s="3">
        <v>1.0275267029999999</v>
      </c>
      <c r="E180" s="4">
        <v>2.9271053753333331E-3</v>
      </c>
      <c r="F180" s="5">
        <v>2508.7614560000002</v>
      </c>
      <c r="G180" s="6">
        <v>43.581098479999994</v>
      </c>
      <c r="H180" s="3">
        <v>8.7506911358848445</v>
      </c>
      <c r="I180" s="4">
        <v>0.43236894041609136</v>
      </c>
      <c r="J180" s="5">
        <v>941.95734287039204</v>
      </c>
      <c r="K180" s="6">
        <v>16.36326737907827</v>
      </c>
      <c r="L180" s="5">
        <v>327.44567477546508</v>
      </c>
      <c r="M180" s="3">
        <v>7.2481248268861549</v>
      </c>
      <c r="N180" s="6">
        <v>41.281273849000002</v>
      </c>
      <c r="O180" s="6">
        <v>17.383425866</v>
      </c>
      <c r="P180" s="6">
        <v>2.267999997</v>
      </c>
      <c r="Q180" s="6">
        <v>2.4335518107123226</v>
      </c>
    </row>
    <row r="181" spans="1:17">
      <c r="A181" s="2">
        <v>45627</v>
      </c>
      <c r="B181" s="3">
        <v>3.0390645806451611</v>
      </c>
      <c r="C181" s="3">
        <v>3.0390645806451611</v>
      </c>
      <c r="D181" s="3">
        <v>3.0390645806451611</v>
      </c>
      <c r="E181" s="4">
        <v>1.4292403651612901E-2</v>
      </c>
      <c r="F181" s="5">
        <v>10754.733430000002</v>
      </c>
      <c r="G181" s="5">
        <v>360.15842009999994</v>
      </c>
      <c r="H181" s="5">
        <v>114.83380940474794</v>
      </c>
      <c r="I181" s="3">
        <v>8.422208838030171</v>
      </c>
      <c r="J181" s="5">
        <v>1321.2477695946829</v>
      </c>
      <c r="K181" s="6">
        <v>44.246424175547098</v>
      </c>
      <c r="L181" s="5">
        <v>595.18907578482708</v>
      </c>
      <c r="M181" s="6">
        <v>13.02924710925541</v>
      </c>
      <c r="N181" s="6">
        <v>53.943682694000003</v>
      </c>
      <c r="O181" s="6">
        <v>16.926476154300001</v>
      </c>
      <c r="P181" s="6">
        <v>0.26483869677419364</v>
      </c>
      <c r="Q181" s="6">
        <v>0.38203367499774193</v>
      </c>
    </row>
    <row r="184" spans="1:17">
      <c r="A184" s="8" t="s">
        <v>16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6" spans="1:17" ht="42" customHeight="1">
      <c r="A186" s="8" t="s">
        <v>16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</sheetData>
  <mergeCells count="2">
    <mergeCell ref="A186:Q186"/>
    <mergeCell ref="A184:Q1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Kalle Norlander</dc:creator>
  <cp:lastModifiedBy>Mathias Landström</cp:lastModifiedBy>
  <dcterms:created xsi:type="dcterms:W3CDTF">2026-04-27T13:43:35Z</dcterms:created>
  <dcterms:modified xsi:type="dcterms:W3CDTF">2026-05-13T23:51:10Z</dcterms:modified>
</cp:coreProperties>
</file>